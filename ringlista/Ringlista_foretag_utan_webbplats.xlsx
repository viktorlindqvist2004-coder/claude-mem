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lista" sheetId="1" state="visible" r:id="rId1"/>
  </sheets>
  <definedNames>
    <definedName name="_xlnm._FilterDatabase" localSheetId="0" hidden="1">'Ringlista'!$A$8:$O$115</definedName>
    <definedName name="_xlnm.Print_Titles" localSheetId="0">'Ringlista'!$8:$8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404040"/>
      <sz val="10"/>
    </font>
    <font>
      <name val="Arial"/>
      <color rgb="00404040"/>
      <sz val="9"/>
    </font>
    <font>
      <name val="Arial"/>
      <b val="1"/>
      <color rgb="001F3864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vertical="top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bgColor rgb="00C6EFCE"/>
        </patternFill>
      </fill>
    </dxf>
    <dxf>
      <font>
        <name val="Arial"/>
        <color rgb="00A6A6A6"/>
        <sz val="10"/>
      </font>
    </dxf>
    <dxf>
      <font>
        <name val="Arial"/>
        <b val="1"/>
        <color rgb="009C0006"/>
        <sz val="10"/>
      </font>
      <fill>
        <patternFill patternType="solid">
          <bgColor rgb="00FFC7CE"/>
        </patternFill>
      </fill>
    </dxf>
    <dxf>
      <fill>
        <patternFill patternType="solid">
          <bgColor rgb="00FFD9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3" customWidth="1" min="3" max="3"/>
    <col width="26" customWidth="1" min="4" max="4"/>
    <col width="52" customWidth="1" min="5" max="5"/>
    <col width="16" customWidth="1" min="6" max="6"/>
    <col width="12" customWidth="1" min="7" max="7"/>
    <col width="44" customWidth="1" min="8" max="8"/>
    <col width="30" customWidth="1" min="9" max="9"/>
    <col width="7" customWidth="1" min="10" max="10"/>
    <col width="9" customWidth="1" min="11" max="11"/>
    <col width="11" customWidth="1" min="12" max="12"/>
    <col width="12" customWidth="1" min="13" max="13"/>
    <col width="14" customWidth="1" min="14" max="14"/>
    <col width="54" customWidth="1" min="15" max="15"/>
  </cols>
  <sheetData>
    <row r="1">
      <c r="A1" s="1" t="inlineStr">
        <is>
          <t>Ringlista – företag utan egen eller med utdaterad webbplats</t>
        </is>
      </c>
    </row>
    <row r="2">
      <c r="A2" s="2" t="inlineStr">
        <is>
          <t>Brålanda · Frändefors · Mellerud · Vänersborg/Vargön · Trollhättan   |   Sammanställd 2026-08-10 från öppna webbkällor</t>
        </is>
      </c>
    </row>
    <row r="3" ht="13" customHeight="1">
      <c r="A3" s="3" t="inlineStr">
        <is>
          <t>Lead:  A = ingen egen webbplats eller trasig/nedlagd sida (ring först)   ·   B = svag eller utdaterad närvaro (kedjesida, gammal CMS, http, domän utan sajt)   ·   C = har fungerande egen webbplats (lägst prioritet)</t>
        </is>
      </c>
    </row>
    <row r="4" ht="13" customHeight="1">
      <c r="A4" s="3" t="inlineStr">
        <is>
          <t>Tel-säkerhet:  Hög = fullständigt nummer från flera källor   ·   Medel = ett enda uppslag   ·   Låg = ofullständigt eller motstridigt, MÅSTE slås upp innan du ringer   ·   Saknas = inget nummer hittat</t>
        </is>
      </c>
    </row>
    <row r="5" ht="13" customHeight="1">
      <c r="A5" s="3" t="inlineStr">
        <is>
          <t>Fyll i de gula kolumnerna K–O medan du ringer. Ringd/Fick svar/Intresserad har rullgardin. Exempel på ifylld rad:  Ringd = ✓ , Fick svar = Ja , Intresserad = Kanske , Återkoppling = 2026-08-24 , Anteckningar = "Vill ha offert på enkel sida, mejlar underlag".</t>
        </is>
      </c>
    </row>
    <row r="6">
      <c r="A6" s="4" t="inlineStr">
        <is>
          <t>Företag totalt</t>
        </is>
      </c>
      <c r="B6" s="4" t="inlineStr">
        <is>
          <t>A-leads</t>
        </is>
      </c>
      <c r="C6" s="4" t="inlineStr">
        <is>
          <t>Ringda</t>
        </is>
      </c>
      <c r="D6" s="4" t="inlineStr">
        <is>
          <t>Fick svar</t>
        </is>
      </c>
      <c r="E6" s="4" t="inlineStr">
        <is>
          <t>Intresserade</t>
        </is>
      </c>
      <c r="F6" s="4" t="inlineStr">
        <is>
          <t>Kvar att ringa</t>
        </is>
      </c>
    </row>
    <row r="7">
      <c r="A7" s="5">
        <f>COUNTA(B9:B115)</f>
        <v/>
      </c>
      <c r="B7" s="5">
        <f>COUNTIF(J9:J115,"A")</f>
        <v/>
      </c>
      <c r="C7" s="5">
        <f>COUNTIF(K9:K115,"✓")</f>
        <v/>
      </c>
      <c r="D7" s="5">
        <f>COUNTIF(L9:L115,"Ja")</f>
        <v/>
      </c>
      <c r="E7" s="5">
        <f>COUNTIF(M9:M115,"Ja")</f>
        <v/>
      </c>
      <c r="F7" s="5">
        <f>COUNTA(B9:B115)-COUNTIF(K9:K115,"✓")</f>
        <v/>
      </c>
    </row>
    <row r="8" ht="30" customHeight="1">
      <c r="A8" s="6" t="inlineStr">
        <is>
          <t>Nr</t>
        </is>
      </c>
      <c r="B8" s="6" t="inlineStr">
        <is>
          <t>Företag</t>
        </is>
      </c>
      <c r="C8" s="6" t="inlineStr">
        <is>
          <t>Ort</t>
        </is>
      </c>
      <c r="D8" s="6" t="inlineStr">
        <is>
          <t>Adress</t>
        </is>
      </c>
      <c r="E8" s="6" t="inlineStr">
        <is>
          <t>Vad de gör</t>
        </is>
      </c>
      <c r="F8" s="6" t="inlineStr">
        <is>
          <t>Telefon</t>
        </is>
      </c>
      <c r="G8" s="6" t="inlineStr">
        <is>
          <t>Tel-säkerhet</t>
        </is>
      </c>
      <c r="H8" s="6" t="inlineStr">
        <is>
          <t>Webbstatus</t>
        </is>
      </c>
      <c r="I8" s="6" t="inlineStr">
        <is>
          <t>Webbadress</t>
        </is>
      </c>
      <c r="J8" s="6" t="inlineStr">
        <is>
          <t>Lead</t>
        </is>
      </c>
      <c r="K8" s="6" t="inlineStr">
        <is>
          <t>Ringd</t>
        </is>
      </c>
      <c r="L8" s="6" t="inlineStr">
        <is>
          <t>Fick svar</t>
        </is>
      </c>
      <c r="M8" s="6" t="inlineStr">
        <is>
          <t>Intresserad</t>
        </is>
      </c>
      <c r="N8" s="6" t="inlineStr">
        <is>
          <t>Återkoppling</t>
        </is>
      </c>
      <c r="O8" s="6" t="inlineStr">
        <is>
          <t>Anteckningar</t>
        </is>
      </c>
    </row>
    <row r="9" ht="30" customHeight="1">
      <c r="A9" s="7" t="n">
        <v>1</v>
      </c>
      <c r="B9" s="8" t="inlineStr">
        <is>
          <t>Brålanda Uthyrning &amp; Entreprenad AB</t>
        </is>
      </c>
      <c r="C9" s="9" t="inlineStr">
        <is>
          <t>Brålanda</t>
        </is>
      </c>
      <c r="D9" s="9" t="inlineStr">
        <is>
          <t>Allégatan 35</t>
        </is>
      </c>
      <c r="E9" s="10" t="inlineStr">
        <is>
          <t>Maskinuthyrning och entreprenad</t>
        </is>
      </c>
      <c r="F9" s="9" t="inlineStr">
        <is>
          <t>0521-304 10</t>
        </is>
      </c>
      <c r="G9" s="7" t="inlineStr">
        <is>
          <t>Medel</t>
        </is>
      </c>
      <c r="H9" s="10" t="inlineStr">
        <is>
          <t>Ingen egen webbplats</t>
        </is>
      </c>
      <c r="I9" s="9" t="inlineStr"/>
      <c r="J9" s="7" t="inlineStr">
        <is>
          <t>A</t>
        </is>
      </c>
      <c r="K9" s="11" t="n"/>
      <c r="L9" s="11" t="n"/>
      <c r="M9" s="11" t="n"/>
      <c r="N9" s="12" t="n"/>
      <c r="O9" s="13" t="inlineStr">
        <is>
          <t>Adress anges olika i källor (Sörbygatan 5 / Allégatan 35).</t>
        </is>
      </c>
    </row>
    <row r="10" ht="30" customHeight="1">
      <c r="A10" s="7" t="n">
        <v>2</v>
      </c>
      <c r="B10" s="8" t="inlineStr">
        <is>
          <t>Brålanda Veterinärpraktik AB</t>
        </is>
      </c>
      <c r="C10" s="9" t="inlineStr">
        <is>
          <t>Brålanda</t>
        </is>
      </c>
      <c r="D10" s="9" t="inlineStr">
        <is>
          <t>Tveten 150</t>
        </is>
      </c>
      <c r="E10" s="10" t="inlineStr">
        <is>
          <t>Veterinär – smådjur och häst, förebyggande vård och akut</t>
        </is>
      </c>
      <c r="F10" s="9" t="inlineStr">
        <is>
          <t>076-022 77 50</t>
        </is>
      </c>
      <c r="G10" s="7" t="inlineStr">
        <is>
          <t>Hög</t>
        </is>
      </c>
      <c r="H10" s="10" t="inlineStr">
        <is>
          <t>Gratis Webnode-mall, ej egen domän</t>
        </is>
      </c>
      <c r="I10" s="9" t="inlineStr">
        <is>
          <t>bralanda-veterinarpraktik.webnode.se</t>
        </is>
      </c>
      <c r="J10" s="7" t="inlineStr">
        <is>
          <t>A</t>
        </is>
      </c>
      <c r="K10" s="11" t="n"/>
      <c r="L10" s="11" t="n"/>
      <c r="M10" s="11" t="n"/>
      <c r="N10" s="12" t="n"/>
      <c r="O10" s="13" t="inlineStr">
        <is>
          <t>E-post info@bralandavet.se finns men domänen används inte till webbplats. Öppet mån-fre 08-16.</t>
        </is>
      </c>
    </row>
    <row r="11" ht="30" customHeight="1">
      <c r="A11" s="7" t="n">
        <v>3</v>
      </c>
      <c r="B11" s="8" t="inlineStr">
        <is>
          <t>Buxåsen Småbruk</t>
        </is>
      </c>
      <c r="C11" s="9" t="inlineStr">
        <is>
          <t>Brålanda</t>
        </is>
      </c>
      <c r="D11" s="9" t="inlineStr">
        <is>
          <t>Buxåsen 125</t>
        </is>
      </c>
      <c r="E11" s="10" t="inlineStr">
        <is>
          <t>Gårdsbutik och småbruk</t>
        </is>
      </c>
      <c r="F11" s="9" t="inlineStr"/>
      <c r="G11" s="7" t="inlineStr">
        <is>
          <t>Saknas</t>
        </is>
      </c>
      <c r="H11" s="10" t="inlineStr">
        <is>
          <t>Webbplatsen är lösenordsskyddad / ej publik</t>
        </is>
      </c>
      <c r="I11" s="9" t="inlineStr">
        <is>
          <t>buxåsen.se</t>
        </is>
      </c>
      <c r="J11" s="7" t="inlineStr">
        <is>
          <t>A</t>
        </is>
      </c>
      <c r="K11" s="11" t="n"/>
      <c r="L11" s="11" t="n"/>
      <c r="M11" s="11" t="n"/>
      <c r="N11" s="12" t="n"/>
      <c r="O11" s="13" t="inlineStr">
        <is>
          <t>Stark lead men telefonnummer saknas i öppna källor – finns på Facebook. Ring efter uppslag.</t>
        </is>
      </c>
    </row>
    <row r="12" ht="30" customHeight="1">
      <c r="A12" s="7" t="n">
        <v>4</v>
      </c>
      <c r="B12" s="8" t="inlineStr">
        <is>
          <t>Fixus Brålanda Bilverkstad</t>
        </is>
      </c>
      <c r="C12" s="9" t="inlineStr">
        <is>
          <t>Brålanda</t>
        </is>
      </c>
      <c r="D12" s="9" t="inlineStr">
        <is>
          <t>Industrigatan 2</t>
        </is>
      </c>
      <c r="E12" s="10" t="inlineStr">
        <is>
          <t>Bilverkstad</t>
        </is>
      </c>
      <c r="F12" s="9" t="inlineStr">
        <is>
          <t>070-625 52 99</t>
        </is>
      </c>
      <c r="G12" s="7" t="inlineStr">
        <is>
          <t>Medel</t>
        </is>
      </c>
      <c r="H12" s="10" t="inlineStr">
        <is>
          <t>Ingen egen webbplats – endast kedje- och katalogsidor</t>
        </is>
      </c>
      <c r="I12" s="9" t="inlineStr"/>
      <c r="J12" s="7" t="inlineStr">
        <is>
          <t>A</t>
        </is>
      </c>
      <c r="K12" s="11" t="n"/>
      <c r="L12" s="11" t="n"/>
      <c r="M12" s="11" t="n"/>
      <c r="N12" s="12" t="n"/>
      <c r="O12" s="13" t="inlineStr">
        <is>
          <t>Öppet mån-fre 08-16.</t>
        </is>
      </c>
    </row>
    <row r="13" ht="30" customHeight="1">
      <c r="A13" s="7" t="n">
        <v>5</v>
      </c>
      <c r="B13" s="8" t="inlineStr">
        <is>
          <t>Lind Åkeri i Brålanda AB</t>
        </is>
      </c>
      <c r="C13" s="9" t="inlineStr">
        <is>
          <t>Brålanda</t>
        </is>
      </c>
      <c r="D13" s="9" t="inlineStr">
        <is>
          <t>Västra Bleken 220</t>
        </is>
      </c>
      <c r="E13" s="10" t="inlineStr">
        <is>
          <t>Åkeri – godstransport, entreprenadtransport åt industri, lagerhantering och fastighetsförvaltning</t>
        </is>
      </c>
      <c r="F13" s="9" t="inlineStr">
        <is>
          <t>0521-351 14</t>
        </is>
      </c>
      <c r="G13" s="7" t="inlineStr">
        <is>
          <t>Hög</t>
        </is>
      </c>
      <c r="H13" s="10" t="inlineStr">
        <is>
          <t>Ingen egen webbplats</t>
        </is>
      </c>
      <c r="I13" s="9" t="inlineStr"/>
      <c r="J13" s="7" t="inlineStr">
        <is>
          <t>A</t>
        </is>
      </c>
      <c r="K13" s="11" t="n"/>
      <c r="L13" s="11" t="n"/>
      <c r="M13" s="11" t="n"/>
      <c r="N13" s="12" t="n"/>
      <c r="O13" s="13" t="inlineStr">
        <is>
          <t>Ca 12 anställda (2021). Etablerat bolag – god betalningsförmåga.</t>
        </is>
      </c>
    </row>
    <row r="14" ht="30" customHeight="1">
      <c r="A14" s="7" t="n">
        <v>6</v>
      </c>
      <c r="B14" s="8" t="inlineStr">
        <is>
          <t>Moryrs Mekaniska Verkstad</t>
        </is>
      </c>
      <c r="C14" s="9" t="inlineStr">
        <is>
          <t>Brålanda</t>
        </is>
      </c>
      <c r="D14" s="9" t="inlineStr">
        <is>
          <t>Moryr 440</t>
        </is>
      </c>
      <c r="E14" s="10" t="inlineStr">
        <is>
          <t>Mekanisk verkstad – svarvning, svetsning, plåtarbete; reparation och renovering av jord- och skogsbruksmaskiner</t>
        </is>
      </c>
      <c r="F14" s="9" t="inlineStr">
        <is>
          <t>070-763 34 88</t>
        </is>
      </c>
      <c r="G14" s="7" t="inlineStr">
        <is>
          <t>Medel</t>
        </is>
      </c>
      <c r="H14" s="10" t="inlineStr">
        <is>
          <t>Ingen egen webbplats – endast katalogsidor</t>
        </is>
      </c>
      <c r="I14" s="9" t="inlineStr"/>
      <c r="J14" s="7" t="inlineStr">
        <is>
          <t>A</t>
        </is>
      </c>
      <c r="K14" s="11" t="n"/>
      <c r="L14" s="11" t="n"/>
      <c r="M14" s="11" t="n"/>
      <c r="N14" s="12" t="n"/>
      <c r="O14" s="13" t="inlineStr">
        <is>
          <t>Alternativt nummer 076-317 43 48 förekom i en källa. Öppet mån-fre 08-16.</t>
        </is>
      </c>
    </row>
    <row r="15" ht="30" customHeight="1">
      <c r="A15" s="7" t="n">
        <v>7</v>
      </c>
      <c r="B15" s="8" t="inlineStr">
        <is>
          <t>Smörtvets Entreprenad &amp; Lantbruk</t>
        </is>
      </c>
      <c r="C15" s="9" t="inlineStr">
        <is>
          <t>Brålanda</t>
        </is>
      </c>
      <c r="D15" s="9" t="inlineStr">
        <is>
          <t>Smörtvet 115</t>
        </is>
      </c>
      <c r="E15" s="10" t="inlineStr">
        <is>
          <t>Entreprenad och lantbruk</t>
        </is>
      </c>
      <c r="F15" s="9" t="inlineStr">
        <is>
          <t>070-415 46 44</t>
        </is>
      </c>
      <c r="G15" s="7" t="inlineStr">
        <is>
          <t>Medel</t>
        </is>
      </c>
      <c r="H15" s="10" t="inlineStr">
        <is>
          <t>Ingen egen webbplats</t>
        </is>
      </c>
      <c r="I15" s="9" t="inlineStr"/>
      <c r="J15" s="7" t="inlineStr">
        <is>
          <t>A</t>
        </is>
      </c>
      <c r="K15" s="11" t="n"/>
      <c r="L15" s="11" t="n"/>
      <c r="M15" s="11" t="n"/>
      <c r="N15" s="12" t="n"/>
      <c r="O15" s="13" t="inlineStr">
        <is>
          <t>Enskild firma.</t>
        </is>
      </c>
    </row>
    <row r="16" ht="30" customHeight="1">
      <c r="A16" s="7" t="n">
        <v>8</v>
      </c>
      <c r="B16" s="8" t="inlineStr">
        <is>
          <t>Anders Nordberg Åkeri AB</t>
        </is>
      </c>
      <c r="C16" s="9" t="inlineStr">
        <is>
          <t>Frändefors</t>
        </is>
      </c>
      <c r="D16" s="9" t="inlineStr">
        <is>
          <t>Skarbo 517</t>
        </is>
      </c>
      <c r="E16" s="10" t="inlineStr">
        <is>
          <t>Åkeri och transportförmedling</t>
        </is>
      </c>
      <c r="F16" s="9" t="inlineStr">
        <is>
          <t>0521-405 25</t>
        </is>
      </c>
      <c r="G16" s="7" t="inlineStr">
        <is>
          <t>Hög</t>
        </is>
      </c>
      <c r="H16" s="10" t="inlineStr">
        <is>
          <t>Ingen egen webbplats</t>
        </is>
      </c>
      <c r="I16" s="9" t="inlineStr"/>
      <c r="J16" s="7" t="inlineStr">
        <is>
          <t>A</t>
        </is>
      </c>
      <c r="K16" s="11" t="n"/>
      <c r="L16" s="11" t="n"/>
      <c r="M16" s="11" t="n"/>
      <c r="N16" s="12" t="n"/>
      <c r="O16" s="13" t="inlineStr"/>
    </row>
    <row r="17" ht="30" customHeight="1">
      <c r="A17" s="7" t="n">
        <v>9</v>
      </c>
      <c r="B17" s="8" t="inlineStr">
        <is>
          <t>Forsane Snickeri (Conny Ekholm)</t>
        </is>
      </c>
      <c r="C17" s="9" t="inlineStr">
        <is>
          <t>Frändefors</t>
        </is>
      </c>
      <c r="D17" s="9" t="inlineStr">
        <is>
          <t>Forsane 222</t>
        </is>
      </c>
      <c r="E17" s="10" t="inlineStr">
        <is>
          <t>Bygg- och inredningssnickeri: trappor, räcken, kök samt måleriarbeten</t>
        </is>
      </c>
      <c r="F17" s="9" t="inlineStr">
        <is>
          <t>0521-405 01</t>
        </is>
      </c>
      <c r="G17" s="7" t="inlineStr">
        <is>
          <t>Hög</t>
        </is>
      </c>
      <c r="H17" s="10" t="inlineStr">
        <is>
          <t>Hade endast Google Business Site – Google lade ner tjänsten 2024, länken är död</t>
        </is>
      </c>
      <c r="I17" s="9" t="inlineStr">
        <is>
          <t>forsanesnickeri.business.site (död)</t>
        </is>
      </c>
      <c r="J17" s="7" t="inlineStr">
        <is>
          <t>A</t>
        </is>
      </c>
      <c r="K17" s="11" t="n"/>
      <c r="L17" s="11" t="n"/>
      <c r="M17" s="11" t="n"/>
      <c r="N17" s="12" t="n"/>
      <c r="O17" s="13" t="inlineStr">
        <is>
          <t>Topplead: hade webbnärvaro som försvann. Ingen fungerande sida idag.</t>
        </is>
      </c>
    </row>
    <row r="18" ht="30" customHeight="1">
      <c r="A18" s="7" t="n">
        <v>10</v>
      </c>
      <c r="B18" s="8" t="inlineStr">
        <is>
          <t>Frändefors Pizzeria</t>
        </is>
      </c>
      <c r="C18" s="9" t="inlineStr">
        <is>
          <t>Frändefors</t>
        </is>
      </c>
      <c r="D18" s="9" t="inlineStr">
        <is>
          <t>Riksvägen 17</t>
        </is>
      </c>
      <c r="E18" s="10" t="inlineStr">
        <is>
          <t>Pizzeria</t>
        </is>
      </c>
      <c r="F18" s="9" t="inlineStr">
        <is>
          <t>0521-404 01</t>
        </is>
      </c>
      <c r="G18" s="7" t="inlineStr">
        <is>
          <t>Medel</t>
        </is>
      </c>
      <c r="H18" s="10" t="inlineStr">
        <is>
          <t>Ingen egen webbplats</t>
        </is>
      </c>
      <c r="I18" s="9" t="inlineStr"/>
      <c r="J18" s="7" t="inlineStr">
        <is>
          <t>A</t>
        </is>
      </c>
      <c r="K18" s="11" t="n"/>
      <c r="L18" s="11" t="n"/>
      <c r="M18" s="11" t="n"/>
      <c r="N18" s="12" t="n"/>
      <c r="O18" s="13" t="inlineStr"/>
    </row>
    <row r="19" ht="30" customHeight="1">
      <c r="A19" s="7" t="n">
        <v>11</v>
      </c>
      <c r="B19" s="8" t="inlineStr">
        <is>
          <t>Leossons Åkeri</t>
        </is>
      </c>
      <c r="C19" s="9" t="inlineStr">
        <is>
          <t>Frändefors</t>
        </is>
      </c>
      <c r="D19" s="9" t="inlineStr">
        <is>
          <t>Snickaregatan 8</t>
        </is>
      </c>
      <c r="E19" s="10" t="inlineStr">
        <is>
          <t>Åkeri</t>
        </is>
      </c>
      <c r="F19" s="9" t="inlineStr">
        <is>
          <t>070-727 82 ??</t>
        </is>
      </c>
      <c r="G19" s="7" t="inlineStr">
        <is>
          <t>Låg</t>
        </is>
      </c>
      <c r="H19" s="10" t="inlineStr">
        <is>
          <t>Ingen egen webbplats</t>
        </is>
      </c>
      <c r="I19" s="9" t="inlineStr"/>
      <c r="J19" s="7" t="inlineStr">
        <is>
          <t>A</t>
        </is>
      </c>
      <c r="K19" s="11" t="n"/>
      <c r="L19" s="11" t="n"/>
      <c r="M19" s="11" t="n"/>
      <c r="N19" s="12" t="n"/>
      <c r="O19" s="13" t="inlineStr">
        <is>
          <t>Numret ofullständigt i källan – slå upp innan samtal.</t>
        </is>
      </c>
    </row>
    <row r="20" ht="30" customHeight="1">
      <c r="A20" s="7" t="n">
        <v>12</v>
      </c>
      <c r="B20" s="8" t="inlineStr">
        <is>
          <t>Blomsterfröjd i Mellerud AB</t>
        </is>
      </c>
      <c r="C20" s="9" t="inlineStr">
        <is>
          <t>Mellerud</t>
        </is>
      </c>
      <c r="D20" s="9" t="inlineStr">
        <is>
          <t>Landsvägsgatan 93</t>
        </is>
      </c>
      <c r="E20" s="10" t="inlineStr">
        <is>
          <t>Blomsterhandel, Interflora-ansluten</t>
        </is>
      </c>
      <c r="F20" s="9" t="inlineStr">
        <is>
          <t>0530-109 15</t>
        </is>
      </c>
      <c r="G20" s="7" t="inlineStr">
        <is>
          <t>Hög</t>
        </is>
      </c>
      <c r="H20" s="10" t="inlineStr">
        <is>
          <t>Ingen egen webbplats – Interflora- och katalogsidor</t>
        </is>
      </c>
      <c r="I20" s="9" t="inlineStr"/>
      <c r="J20" s="7" t="inlineStr">
        <is>
          <t>A</t>
        </is>
      </c>
      <c r="K20" s="11" t="n"/>
      <c r="L20" s="11" t="n"/>
      <c r="M20" s="11" t="n"/>
      <c r="N20" s="12" t="n"/>
      <c r="O20" s="13" t="inlineStr">
        <is>
          <t>Aktivt sedan 2020.</t>
        </is>
      </c>
    </row>
    <row r="21" ht="30" customHeight="1">
      <c r="A21" s="7" t="n">
        <v>13</v>
      </c>
      <c r="B21" s="8" t="inlineStr">
        <is>
          <t>Bokföringstekniska Byrån i Mellerud AB (BTB)</t>
        </is>
      </c>
      <c r="C21" s="9" t="inlineStr">
        <is>
          <t>Mellerud</t>
        </is>
      </c>
      <c r="D21" s="9" t="inlineStr">
        <is>
          <t>Kornsjögatan 2</t>
        </is>
      </c>
      <c r="E21" s="10" t="inlineStr">
        <is>
          <t>Redovisningsbyrå – bokföring, lön och skatt</t>
        </is>
      </c>
      <c r="F21" s="9" t="inlineStr">
        <is>
          <t>0530-130 ??</t>
        </is>
      </c>
      <c r="G21" s="7" t="inlineStr">
        <is>
          <t>Låg</t>
        </is>
      </c>
      <c r="H21" s="10" t="inlineStr">
        <is>
          <t>Ingen egen webbplats hittad</t>
        </is>
      </c>
      <c r="I21" s="9" t="inlineStr"/>
      <c r="J21" s="7" t="inlineStr">
        <is>
          <t>A</t>
        </is>
      </c>
      <c r="K21" s="11" t="n"/>
      <c r="L21" s="11" t="n"/>
      <c r="M21" s="11" t="n"/>
      <c r="N21" s="12" t="n"/>
      <c r="O21" s="13" t="inlineStr">
        <is>
          <t>Numret ofullständigt i källan – verifiera.</t>
        </is>
      </c>
    </row>
    <row r="22" ht="30" customHeight="1">
      <c r="A22" s="7" t="n">
        <v>14</v>
      </c>
      <c r="B22" s="8" t="inlineStr">
        <is>
          <t>Börsen Restaurang &amp; Gatukök</t>
        </is>
      </c>
      <c r="C22" s="9" t="inlineStr">
        <is>
          <t>Mellerud</t>
        </is>
      </c>
      <c r="D22" s="9" t="inlineStr">
        <is>
          <t>Köpmantorget 3</t>
        </is>
      </c>
      <c r="E22" s="10" t="inlineStr">
        <is>
          <t>Restaurang och gatukök</t>
        </is>
      </c>
      <c r="F22" s="9" t="inlineStr">
        <is>
          <t>0530-101 32</t>
        </is>
      </c>
      <c r="G22" s="7" t="inlineStr">
        <is>
          <t>Medel</t>
        </is>
      </c>
      <c r="H22" s="10" t="inlineStr">
        <is>
          <t>Ingen egen webbplats</t>
        </is>
      </c>
      <c r="I22" s="9" t="inlineStr"/>
      <c r="J22" s="7" t="inlineStr">
        <is>
          <t>A</t>
        </is>
      </c>
      <c r="K22" s="11" t="n"/>
      <c r="L22" s="11" t="n"/>
      <c r="M22" s="11" t="n"/>
      <c r="N22" s="12" t="n"/>
      <c r="O22" s="13" t="inlineStr"/>
    </row>
    <row r="23" ht="30" customHeight="1">
      <c r="A23" s="7" t="n">
        <v>15</v>
      </c>
      <c r="B23" s="8" t="inlineStr">
        <is>
          <t>Hilding Anderssons Åkeri AB</t>
        </is>
      </c>
      <c r="C23" s="9" t="inlineStr">
        <is>
          <t>Mellerud</t>
        </is>
      </c>
      <c r="D23" s="9" t="inlineStr">
        <is>
          <t>Magasinsgatan 41</t>
        </is>
      </c>
      <c r="E23" s="10" t="inlineStr">
        <is>
          <t>Åkeri och transport</t>
        </is>
      </c>
      <c r="F23" s="9" t="inlineStr">
        <is>
          <t>0530-414 80</t>
        </is>
      </c>
      <c r="G23" s="7" t="inlineStr">
        <is>
          <t>Medel</t>
        </is>
      </c>
      <c r="H23" s="10" t="inlineStr">
        <is>
          <t>Ingen egen webbplats</t>
        </is>
      </c>
      <c r="I23" s="9" t="inlineStr"/>
      <c r="J23" s="7" t="inlineStr">
        <is>
          <t>A</t>
        </is>
      </c>
      <c r="K23" s="11" t="n"/>
      <c r="L23" s="11" t="n"/>
      <c r="M23" s="11" t="n"/>
      <c r="N23" s="12" t="n"/>
      <c r="O23" s="13" t="inlineStr"/>
    </row>
    <row r="24" ht="30" customHeight="1">
      <c r="A24" s="7" t="n">
        <v>16</v>
      </c>
      <c r="B24" s="8" t="inlineStr">
        <is>
          <t>MEA – Melleruds Elektriska Affär (Nya AB)</t>
        </is>
      </c>
      <c r="C24" s="9" t="inlineStr">
        <is>
          <t>Mellerud</t>
        </is>
      </c>
      <c r="D24" s="9" t="inlineStr">
        <is>
          <t>Hantverkargatan 3</t>
        </is>
      </c>
      <c r="E24" s="10" t="inlineStr">
        <is>
          <t>Elinstallation och elbutik (Elon-ansluten)</t>
        </is>
      </c>
      <c r="F24" s="9" t="inlineStr">
        <is>
          <t>0530-100 13</t>
        </is>
      </c>
      <c r="G24" s="7" t="inlineStr">
        <is>
          <t>Hög</t>
        </is>
      </c>
      <c r="H24" s="10" t="inlineStr">
        <is>
          <t>Ingen egen webbplats – Facebook och kedjesidor</t>
        </is>
      </c>
      <c r="I24" s="9" t="inlineStr"/>
      <c r="J24" s="7" t="inlineStr">
        <is>
          <t>A</t>
        </is>
      </c>
      <c r="K24" s="11" t="n"/>
      <c r="L24" s="11" t="n"/>
      <c r="M24" s="11" t="n"/>
      <c r="N24" s="12" t="n"/>
      <c r="O24" s="13" t="inlineStr"/>
    </row>
    <row r="25" ht="30" customHeight="1">
      <c r="A25" s="7" t="n">
        <v>17</v>
      </c>
      <c r="B25" s="8" t="inlineStr">
        <is>
          <t>Mikaels Bilservice</t>
        </is>
      </c>
      <c r="C25" s="9" t="inlineStr">
        <is>
          <t>Mellerud</t>
        </is>
      </c>
      <c r="D25" s="9" t="inlineStr">
        <is>
          <t>Östevatten 8</t>
        </is>
      </c>
      <c r="E25" s="10" t="inlineStr">
        <is>
          <t>Bilverkstad – service och reparation</t>
        </is>
      </c>
      <c r="F25" s="9" t="inlineStr">
        <is>
          <t>070-417 41 25</t>
        </is>
      </c>
      <c r="G25" s="7" t="inlineStr">
        <is>
          <t>Hög</t>
        </is>
      </c>
      <c r="H25" s="10" t="inlineStr">
        <is>
          <t>Ingen egen webbplats – listad på fbt.se med mycket gammal sidstruktur</t>
        </is>
      </c>
      <c r="I25" s="9" t="inlineStr"/>
      <c r="J25" s="7" t="inlineStr">
        <is>
          <t>A</t>
        </is>
      </c>
      <c r="K25" s="11" t="n"/>
      <c r="L25" s="11" t="n"/>
      <c r="M25" s="11" t="n"/>
      <c r="N25" s="12" t="n"/>
      <c r="O25" s="13" t="inlineStr">
        <is>
          <t>Kontaktmejl är privat live.se-adress – tydligt behov. Öppet mån-fre 08-17.</t>
        </is>
      </c>
    </row>
    <row r="26" ht="30" customHeight="1">
      <c r="A26" s="7" t="n">
        <v>18</v>
      </c>
      <c r="B26" s="8" t="inlineStr">
        <is>
          <t>New Look frisörsalong</t>
        </is>
      </c>
      <c r="C26" s="9" t="inlineStr">
        <is>
          <t>Mellerud</t>
        </is>
      </c>
      <c r="D26" s="9" t="inlineStr">
        <is>
          <t>Kornsjögatan 1</t>
        </is>
      </c>
      <c r="E26" s="10" t="inlineStr">
        <is>
          <t>Frisörsalong för dam och herr</t>
        </is>
      </c>
      <c r="F26" s="9" t="inlineStr">
        <is>
          <t>073-890 03 57</t>
        </is>
      </c>
      <c r="G26" s="7" t="inlineStr">
        <is>
          <t>Hög</t>
        </is>
      </c>
      <c r="H26" s="10" t="inlineStr">
        <is>
          <t>Ingen egen webbplats – bokning via Bokadirekt</t>
        </is>
      </c>
      <c r="I26" s="9" t="inlineStr"/>
      <c r="J26" s="7" t="inlineStr">
        <is>
          <t>A</t>
        </is>
      </c>
      <c r="K26" s="11" t="n"/>
      <c r="L26" s="11" t="n"/>
      <c r="M26" s="11" t="n"/>
      <c r="N26" s="12" t="n"/>
      <c r="O26" s="13" t="inlineStr">
        <is>
          <t>Öppet mån-fre 10-19, lör-sön 10-14.</t>
        </is>
      </c>
    </row>
    <row r="27" ht="30" customHeight="1">
      <c r="A27" s="7" t="n">
        <v>19</v>
      </c>
      <c r="B27" s="8" t="inlineStr">
        <is>
          <t>R Berglunds Transport Grus &amp; Maskin AB</t>
        </is>
      </c>
      <c r="C27" s="9" t="inlineStr">
        <is>
          <t>Mellerud</t>
        </is>
      </c>
      <c r="D27" s="9" t="inlineStr">
        <is>
          <t>Kärragatan 16</t>
        </is>
      </c>
      <c r="E27" s="10" t="inlineStr">
        <is>
          <t>Transport, grus och maskinarbeten</t>
        </is>
      </c>
      <c r="F27" s="9" t="inlineStr">
        <is>
          <t>0530-125 10</t>
        </is>
      </c>
      <c r="G27" s="7" t="inlineStr">
        <is>
          <t>Medel</t>
        </is>
      </c>
      <c r="H27" s="10" t="inlineStr">
        <is>
          <t>Ingen egen webbplats</t>
        </is>
      </c>
      <c r="I27" s="9" t="inlineStr"/>
      <c r="J27" s="7" t="inlineStr">
        <is>
          <t>A</t>
        </is>
      </c>
      <c r="K27" s="11" t="n"/>
      <c r="L27" s="11" t="n"/>
      <c r="M27" s="11" t="n"/>
      <c r="N27" s="12" t="n"/>
      <c r="O27" s="13" t="inlineStr"/>
    </row>
    <row r="28" ht="30" customHeight="1">
      <c r="A28" s="7" t="n">
        <v>20</v>
      </c>
      <c r="B28" s="8" t="inlineStr">
        <is>
          <t>Raggens Åkeri AB</t>
        </is>
      </c>
      <c r="C28" s="9" t="inlineStr">
        <is>
          <t>Mellerud</t>
        </is>
      </c>
      <c r="D28" s="9" t="inlineStr">
        <is>
          <t>Erikstad Bön 9</t>
        </is>
      </c>
      <c r="E28" s="10" t="inlineStr">
        <is>
          <t>Åkeri</t>
        </is>
      </c>
      <c r="F28" s="9" t="inlineStr">
        <is>
          <t>070-277 52 ??</t>
        </is>
      </c>
      <c r="G28" s="7" t="inlineStr">
        <is>
          <t>Låg</t>
        </is>
      </c>
      <c r="H28" s="10" t="inlineStr">
        <is>
          <t>Ingen egen webbplats</t>
        </is>
      </c>
      <c r="I28" s="9" t="inlineStr"/>
      <c r="J28" s="7" t="inlineStr">
        <is>
          <t>A</t>
        </is>
      </c>
      <c r="K28" s="11" t="n"/>
      <c r="L28" s="11" t="n"/>
      <c r="M28" s="11" t="n"/>
      <c r="N28" s="12" t="n"/>
      <c r="O28" s="13" t="inlineStr">
        <is>
          <t>Numret ofullständigt i källan – verifiera.</t>
        </is>
      </c>
    </row>
    <row r="29" ht="30" customHeight="1">
      <c r="A29" s="7" t="n">
        <v>21</v>
      </c>
      <c r="B29" s="8" t="inlineStr">
        <is>
          <t>S. Mossbergs Åkeri AB</t>
        </is>
      </c>
      <c r="C29" s="9" t="inlineStr">
        <is>
          <t>Mellerud</t>
        </is>
      </c>
      <c r="D29" s="9" t="inlineStr">
        <is>
          <t>Hälleback Tomtebacken</t>
        </is>
      </c>
      <c r="E29" s="10" t="inlineStr">
        <is>
          <t>Åkeri</t>
        </is>
      </c>
      <c r="F29" s="9" t="inlineStr">
        <is>
          <t>070-246 04 58</t>
        </is>
      </c>
      <c r="G29" s="7" t="inlineStr">
        <is>
          <t>Medel</t>
        </is>
      </c>
      <c r="H29" s="10" t="inlineStr">
        <is>
          <t>Ingen egen webbplats</t>
        </is>
      </c>
      <c r="I29" s="9" t="inlineStr"/>
      <c r="J29" s="7" t="inlineStr">
        <is>
          <t>A</t>
        </is>
      </c>
      <c r="K29" s="11" t="n"/>
      <c r="L29" s="11" t="n"/>
      <c r="M29" s="11" t="n"/>
      <c r="N29" s="12" t="n"/>
      <c r="O29" s="13" t="inlineStr"/>
    </row>
    <row r="30" ht="30" customHeight="1">
      <c r="A30" s="7" t="n">
        <v>22</v>
      </c>
      <c r="B30" s="8" t="inlineStr">
        <is>
          <t>Salong Blücher</t>
        </is>
      </c>
      <c r="C30" s="9" t="inlineStr">
        <is>
          <t>Mellerud</t>
        </is>
      </c>
      <c r="D30" s="9" t="inlineStr">
        <is>
          <t>Storgatan 18 B</t>
        </is>
      </c>
      <c r="E30" s="10" t="inlineStr">
        <is>
          <t>Frisör och skönhetsbehandlingar</t>
        </is>
      </c>
      <c r="F30" s="9" t="inlineStr">
        <is>
          <t>0530-415 15</t>
        </is>
      </c>
      <c r="G30" s="7" t="inlineStr">
        <is>
          <t>Hög</t>
        </is>
      </c>
      <c r="H30" s="10" t="inlineStr">
        <is>
          <t>Ingen webbplats – endast Instagram</t>
        </is>
      </c>
      <c r="I30" s="9" t="inlineStr"/>
      <c r="J30" s="7" t="inlineStr">
        <is>
          <t>A</t>
        </is>
      </c>
      <c r="K30" s="11" t="n"/>
      <c r="L30" s="11" t="n"/>
      <c r="M30" s="11" t="n"/>
      <c r="N30" s="12" t="n"/>
      <c r="O30" s="13" t="inlineStr">
        <is>
          <t>Öppet mån-fre 09-18.</t>
        </is>
      </c>
    </row>
    <row r="31" ht="30" customHeight="1">
      <c r="A31" s="7" t="n">
        <v>23</v>
      </c>
      <c r="B31" s="8" t="inlineStr">
        <is>
          <t>Schaktarbeten Melleruds Handel</t>
        </is>
      </c>
      <c r="C31" s="9" t="inlineStr">
        <is>
          <t>Mellerud</t>
        </is>
      </c>
      <c r="D31" s="9" t="inlineStr">
        <is>
          <t>Gerdsrud 7</t>
        </is>
      </c>
      <c r="E31" s="10" t="inlineStr">
        <is>
          <t>Schakt-, mark- och anläggningsarbeten</t>
        </is>
      </c>
      <c r="F31" s="9" t="inlineStr">
        <is>
          <t>070-257 72 ??</t>
        </is>
      </c>
      <c r="G31" s="7" t="inlineStr">
        <is>
          <t>Låg</t>
        </is>
      </c>
      <c r="H31" s="10" t="inlineStr">
        <is>
          <t>Ingen egen webbplats</t>
        </is>
      </c>
      <c r="I31" s="9" t="inlineStr"/>
      <c r="J31" s="7" t="inlineStr">
        <is>
          <t>A</t>
        </is>
      </c>
      <c r="K31" s="11" t="n"/>
      <c r="L31" s="11" t="n"/>
      <c r="M31" s="11" t="n"/>
      <c r="N31" s="12" t="n"/>
      <c r="O31" s="13" t="inlineStr">
        <is>
          <t>Numret ofullständigt i källan – verifiera.</t>
        </is>
      </c>
    </row>
    <row r="32" ht="30" customHeight="1">
      <c r="A32" s="7" t="n">
        <v>24</v>
      </c>
      <c r="B32" s="8" t="inlineStr">
        <is>
          <t>Smyrnas Second Hand</t>
        </is>
      </c>
      <c r="C32" s="9" t="inlineStr">
        <is>
          <t>Mellerud</t>
        </is>
      </c>
      <c r="D32" s="9" t="inlineStr">
        <is>
          <t>Norra Kungsgatan 3</t>
        </is>
      </c>
      <c r="E32" s="10" t="inlineStr">
        <is>
          <t>Secondhandbutik (Smyrnakyrkan)</t>
        </is>
      </c>
      <c r="F32" s="9" t="inlineStr">
        <is>
          <t>0530-410 74</t>
        </is>
      </c>
      <c r="G32" s="7" t="inlineStr">
        <is>
          <t>Hög</t>
        </is>
      </c>
      <c r="H32" s="10" t="inlineStr">
        <is>
          <t>Ingen egen webbplats – endast Facebook</t>
        </is>
      </c>
      <c r="I32" s="9" t="inlineStr"/>
      <c r="J32" s="7" t="inlineStr">
        <is>
          <t>A</t>
        </is>
      </c>
      <c r="K32" s="11" t="n"/>
      <c r="L32" s="11" t="n"/>
      <c r="M32" s="11" t="n"/>
      <c r="N32" s="12" t="n"/>
      <c r="O32" s="13" t="inlineStr">
        <is>
          <t>Öppet ons och lör 10-14.</t>
        </is>
      </c>
    </row>
    <row r="33" ht="30" customHeight="1">
      <c r="A33" s="7" t="n">
        <v>25</v>
      </c>
      <c r="B33" s="8" t="inlineStr">
        <is>
          <t>Sotarn på Dal AB (Sören Gustavsson)</t>
        </is>
      </c>
      <c r="C33" s="9" t="inlineStr">
        <is>
          <t>Mellerud</t>
        </is>
      </c>
      <c r="D33" s="9" t="inlineStr">
        <is>
          <t>Järngatan 12, Bengtsfors – servar Mellerud/Dalsland</t>
        </is>
      </c>
      <c r="E33" s="10" t="inlineStr">
        <is>
          <t>Sotning, brandskyddskontroll och rengöring</t>
        </is>
      </c>
      <c r="F33" s="9" t="inlineStr">
        <is>
          <t>0531-125 66</t>
        </is>
      </c>
      <c r="G33" s="7" t="inlineStr">
        <is>
          <t>Hög</t>
        </is>
      </c>
      <c r="H33" s="10" t="inlineStr">
        <is>
          <t>Ingen egen webbplats hittad</t>
        </is>
      </c>
      <c r="I33" s="9" t="inlineStr"/>
      <c r="J33" s="7" t="inlineStr">
        <is>
          <t>A</t>
        </is>
      </c>
      <c r="K33" s="11" t="n"/>
      <c r="L33" s="11" t="n"/>
      <c r="M33" s="11" t="n"/>
      <c r="N33" s="12" t="n"/>
      <c r="O33" s="13" t="inlineStr">
        <is>
          <t>Mobil 070-336 66 30. Sitter i Bengtsfors men täcker Dalsland inkl. Mellerud.</t>
        </is>
      </c>
    </row>
    <row r="34" ht="30" customHeight="1">
      <c r="A34" s="7" t="n">
        <v>26</v>
      </c>
      <c r="B34" s="8" t="inlineStr">
        <is>
          <t>Svenska Glaslösningar AB</t>
        </is>
      </c>
      <c r="C34" s="9" t="inlineStr">
        <is>
          <t>Mellerud</t>
        </is>
      </c>
      <c r="D34" s="9" t="inlineStr">
        <is>
          <t>Sapphultsgatan 7</t>
        </is>
      </c>
      <c r="E34" s="10" t="inlineStr">
        <is>
          <t>Glasmästeri, medlem i Glasbranschföreningen</t>
        </is>
      </c>
      <c r="F34" s="9" t="inlineStr">
        <is>
          <t>0530-104 95</t>
        </is>
      </c>
      <c r="G34" s="7" t="inlineStr">
        <is>
          <t>Hög</t>
        </is>
      </c>
      <c r="H34" s="10" t="inlineStr">
        <is>
          <t>Ingen egen webbplats hittad</t>
        </is>
      </c>
      <c r="I34" s="9" t="inlineStr"/>
      <c r="J34" s="7" t="inlineStr">
        <is>
          <t>A</t>
        </is>
      </c>
      <c r="K34" s="11" t="n"/>
      <c r="L34" s="11" t="n"/>
      <c r="M34" s="11" t="n"/>
      <c r="N34" s="12" t="n"/>
      <c r="O34" s="13" t="inlineStr"/>
    </row>
    <row r="35" ht="30" customHeight="1">
      <c r="A35" s="7" t="n">
        <v>27</v>
      </c>
      <c r="B35" s="8" t="inlineStr">
        <is>
          <t>Örs Svets &amp; Lack</t>
        </is>
      </c>
      <c r="C35" s="9" t="inlineStr">
        <is>
          <t>Mellerud</t>
        </is>
      </c>
      <c r="D35" s="9" t="inlineStr">
        <is>
          <t>Ingevalds Berga 2</t>
        </is>
      </c>
      <c r="E35" s="10" t="inlineStr">
        <is>
          <t>Svetsning och lackering</t>
        </is>
      </c>
      <c r="F35" s="9" t="inlineStr">
        <is>
          <t>070-233 27 ??</t>
        </is>
      </c>
      <c r="G35" s="7" t="inlineStr">
        <is>
          <t>Låg</t>
        </is>
      </c>
      <c r="H35" s="10" t="inlineStr">
        <is>
          <t>Ingen egen webbplats</t>
        </is>
      </c>
      <c r="I35" s="9" t="inlineStr"/>
      <c r="J35" s="7" t="inlineStr">
        <is>
          <t>A</t>
        </is>
      </c>
      <c r="K35" s="11" t="n"/>
      <c r="L35" s="11" t="n"/>
      <c r="M35" s="11" t="n"/>
      <c r="N35" s="12" t="n"/>
      <c r="O35" s="13" t="inlineStr">
        <is>
          <t>Numret ofullständigt i källan – verifiera. Enskild firma sedan 2010.</t>
        </is>
      </c>
    </row>
    <row r="36" ht="30" customHeight="1">
      <c r="A36" s="7" t="n">
        <v>28</v>
      </c>
      <c r="B36" s="8" t="inlineStr">
        <is>
          <t>Bruksgrillen Kiosk &amp; Gatukök</t>
        </is>
      </c>
      <c r="C36" s="9" t="inlineStr">
        <is>
          <t>Vänersborg</t>
        </is>
      </c>
      <c r="D36" s="9" t="inlineStr">
        <is>
          <t>Bruksvägen 1</t>
        </is>
      </c>
      <c r="E36" s="10" t="inlineStr">
        <is>
          <t>Kiosk och gatukök</t>
        </is>
      </c>
      <c r="F36" s="9" t="inlineStr">
        <is>
          <t>0521-129 80</t>
        </is>
      </c>
      <c r="G36" s="7" t="inlineStr">
        <is>
          <t>Medel</t>
        </is>
      </c>
      <c r="H36" s="10" t="inlineStr">
        <is>
          <t>Ingen egen webbplats</t>
        </is>
      </c>
      <c r="I36" s="9" t="inlineStr"/>
      <c r="J36" s="7" t="inlineStr">
        <is>
          <t>A</t>
        </is>
      </c>
      <c r="K36" s="11" t="n"/>
      <c r="L36" s="11" t="n"/>
      <c r="M36" s="11" t="n"/>
      <c r="N36" s="12" t="n"/>
      <c r="O36" s="13" t="inlineStr"/>
    </row>
    <row r="37" ht="30" customHeight="1">
      <c r="A37" s="7" t="n">
        <v>29</v>
      </c>
      <c r="B37" s="8" t="inlineStr">
        <is>
          <t>D S Cykel &amp; Motor</t>
        </is>
      </c>
      <c r="C37" s="9" t="inlineStr">
        <is>
          <t>Vänersborg</t>
        </is>
      </c>
      <c r="D37" s="9" t="inlineStr">
        <is>
          <t>Parallellgatan 12</t>
        </is>
      </c>
      <c r="E37" s="10" t="inlineStr">
        <is>
          <t>Cykel- och motorbutik med verkstad</t>
        </is>
      </c>
      <c r="F37" s="9" t="inlineStr">
        <is>
          <t>0521-618 08</t>
        </is>
      </c>
      <c r="G37" s="7" t="inlineStr">
        <is>
          <t>Medel</t>
        </is>
      </c>
      <c r="H37" s="10" t="inlineStr">
        <is>
          <t>Ingen egen webbplats hittad</t>
        </is>
      </c>
      <c r="I37" s="9" t="inlineStr"/>
      <c r="J37" s="7" t="inlineStr">
        <is>
          <t>A</t>
        </is>
      </c>
      <c r="K37" s="11" t="n"/>
      <c r="L37" s="11" t="n"/>
      <c r="M37" s="11" t="n"/>
      <c r="N37" s="12" t="n"/>
      <c r="O37" s="13" t="inlineStr"/>
    </row>
    <row r="38" ht="30" customHeight="1">
      <c r="A38" s="7" t="n">
        <v>30</v>
      </c>
      <c r="B38" s="8" t="inlineStr">
        <is>
          <t>EMC Måleri AB</t>
        </is>
      </c>
      <c r="C38" s="9" t="inlineStr">
        <is>
          <t>Vänersborg</t>
        </is>
      </c>
      <c r="D38" s="9" t="inlineStr">
        <is>
          <t>Vänersborg</t>
        </is>
      </c>
      <c r="E38" s="10" t="inlineStr">
        <is>
          <t>Måleri inomhus och utomhus samt sprutlackering</t>
        </is>
      </c>
      <c r="F38" s="9" t="inlineStr">
        <is>
          <t>073-782 89 30</t>
        </is>
      </c>
      <c r="G38" s="7" t="inlineStr">
        <is>
          <t>Medel</t>
        </is>
      </c>
      <c r="H38" s="10" t="inlineStr">
        <is>
          <t>Ingen egen webbplats</t>
        </is>
      </c>
      <c r="I38" s="9" t="inlineStr"/>
      <c r="J38" s="7" t="inlineStr">
        <is>
          <t>A</t>
        </is>
      </c>
      <c r="K38" s="11" t="n"/>
      <c r="L38" s="11" t="n"/>
      <c r="M38" s="11" t="n"/>
      <c r="N38" s="12" t="n"/>
      <c r="O38" s="13" t="inlineStr"/>
    </row>
    <row r="39" ht="30" customHeight="1">
      <c r="A39" s="7" t="n">
        <v>31</v>
      </c>
      <c r="B39" s="8" t="inlineStr">
        <is>
          <t>Emika</t>
        </is>
      </c>
      <c r="C39" s="9" t="inlineStr">
        <is>
          <t>Vänersborg</t>
        </is>
      </c>
      <c r="D39" s="9" t="inlineStr">
        <is>
          <t>Edsgatan 29</t>
        </is>
      </c>
      <c r="E39" s="10" t="inlineStr">
        <is>
          <t>Frisörsalong</t>
        </is>
      </c>
      <c r="F39" s="9" t="inlineStr">
        <is>
          <t>0521-71 10 ??</t>
        </is>
      </c>
      <c r="G39" s="7" t="inlineStr">
        <is>
          <t>Låg</t>
        </is>
      </c>
      <c r="H39" s="10" t="inlineStr">
        <is>
          <t>Ingen egen webbplats hittad</t>
        </is>
      </c>
      <c r="I39" s="9" t="inlineStr"/>
      <c r="J39" s="7" t="inlineStr">
        <is>
          <t>A</t>
        </is>
      </c>
      <c r="K39" s="11" t="n"/>
      <c r="L39" s="11" t="n"/>
      <c r="M39" s="11" t="n"/>
      <c r="N39" s="12" t="n"/>
      <c r="O39" s="13" t="inlineStr">
        <is>
          <t>Numret ofullständigt i källan – verifiera.</t>
        </is>
      </c>
    </row>
    <row r="40" ht="30" customHeight="1">
      <c r="A40" s="7" t="n">
        <v>32</v>
      </c>
      <c r="B40" s="8" t="inlineStr">
        <is>
          <t>Lena Hallqvist Veterinärpraktik</t>
        </is>
      </c>
      <c r="C40" s="9" t="inlineStr">
        <is>
          <t>Vänersborg</t>
        </is>
      </c>
      <c r="D40" s="9" t="inlineStr">
        <is>
          <t>Vänersborg / Brålanda / Frändefors</t>
        </is>
      </c>
      <c r="E40" s="10" t="inlineStr">
        <is>
          <t>Veterinär – hembesök hund och katt, hästvaccination på stall</t>
        </is>
      </c>
      <c r="F40" s="9" t="inlineStr">
        <is>
          <t>0521-25 50 53</t>
        </is>
      </c>
      <c r="G40" s="7" t="inlineStr">
        <is>
          <t>Medel</t>
        </is>
      </c>
      <c r="H40" s="10" t="inlineStr">
        <is>
          <t>Ingen egen webbplats hittad</t>
        </is>
      </c>
      <c r="I40" s="9" t="inlineStr"/>
      <c r="J40" s="7" t="inlineStr">
        <is>
          <t>A</t>
        </is>
      </c>
      <c r="K40" s="11" t="n"/>
      <c r="L40" s="11" t="n"/>
      <c r="M40" s="11" t="n"/>
      <c r="N40" s="12" t="n"/>
      <c r="O40" s="13" t="inlineStr">
        <is>
          <t>Kontorstid mån-fre 08-16.</t>
        </is>
      </c>
    </row>
    <row r="41" ht="30" customHeight="1">
      <c r="A41" s="7" t="n">
        <v>33</v>
      </c>
      <c r="B41" s="8" t="inlineStr">
        <is>
          <t>Lövgren Bygg i Vänersborg AB</t>
        </is>
      </c>
      <c r="C41" s="9" t="inlineStr">
        <is>
          <t>Vänersborg</t>
        </is>
      </c>
      <c r="D41" s="9" t="inlineStr">
        <is>
          <t>Sjöviksvägen 1</t>
        </is>
      </c>
      <c r="E41" s="10" t="inlineStr">
        <is>
          <t>Byggnation och snickeri</t>
        </is>
      </c>
      <c r="F41" s="9" t="inlineStr">
        <is>
          <t>070-461 43 70</t>
        </is>
      </c>
      <c r="G41" s="7" t="inlineStr">
        <is>
          <t>Medel</t>
        </is>
      </c>
      <c r="H41" s="10" t="inlineStr">
        <is>
          <t>Ingen egen webbplats hittad</t>
        </is>
      </c>
      <c r="I41" s="9" t="inlineStr"/>
      <c r="J41" s="7" t="inlineStr">
        <is>
          <t>A</t>
        </is>
      </c>
      <c r="K41" s="11" t="n"/>
      <c r="L41" s="11" t="n"/>
      <c r="M41" s="11" t="n"/>
      <c r="N41" s="12" t="n"/>
      <c r="O41" s="13" t="inlineStr">
        <is>
          <t>Aktivt sedan 2013.</t>
        </is>
      </c>
    </row>
    <row r="42" ht="30" customHeight="1">
      <c r="A42" s="7" t="n">
        <v>34</v>
      </c>
      <c r="B42" s="8" t="inlineStr">
        <is>
          <t>Pärlans Gatukök</t>
        </is>
      </c>
      <c r="C42" s="9" t="inlineStr">
        <is>
          <t>Vänersborg</t>
        </is>
      </c>
      <c r="D42" s="9" t="inlineStr">
        <is>
          <t>Belfragegatan 29</t>
        </is>
      </c>
      <c r="E42" s="10" t="inlineStr">
        <is>
          <t>Gatukök</t>
        </is>
      </c>
      <c r="F42" s="9" t="inlineStr">
        <is>
          <t>0521-633 30</t>
        </is>
      </c>
      <c r="G42" s="7" t="inlineStr">
        <is>
          <t>Medel</t>
        </is>
      </c>
      <c r="H42" s="10" t="inlineStr">
        <is>
          <t>Ingen egen webbplats</t>
        </is>
      </c>
      <c r="I42" s="9" t="inlineStr"/>
      <c r="J42" s="7" t="inlineStr">
        <is>
          <t>A</t>
        </is>
      </c>
      <c r="K42" s="11" t="n"/>
      <c r="L42" s="11" t="n"/>
      <c r="M42" s="11" t="n"/>
      <c r="N42" s="12" t="n"/>
      <c r="O42" s="13" t="inlineStr"/>
    </row>
    <row r="43" ht="30" customHeight="1">
      <c r="A43" s="7" t="n">
        <v>35</v>
      </c>
      <c r="B43" s="8" t="inlineStr">
        <is>
          <t>Salong Mise en Plis</t>
        </is>
      </c>
      <c r="C43" s="9" t="inlineStr">
        <is>
          <t>Vänersborg</t>
        </is>
      </c>
      <c r="D43" s="9" t="inlineStr">
        <is>
          <t>Skogsvägen 29</t>
        </is>
      </c>
      <c r="E43" s="10" t="inlineStr">
        <is>
          <t>Frisörsalong</t>
        </is>
      </c>
      <c r="F43" s="9" t="inlineStr">
        <is>
          <t>0521-71 12 44</t>
        </is>
      </c>
      <c r="G43" s="7" t="inlineStr">
        <is>
          <t>Hög</t>
        </is>
      </c>
      <c r="H43" s="10" t="inlineStr">
        <is>
          <t>Ingen egen webbplats</t>
        </is>
      </c>
      <c r="I43" s="9" t="inlineStr"/>
      <c r="J43" s="7" t="inlineStr">
        <is>
          <t>A</t>
        </is>
      </c>
      <c r="K43" s="11" t="n"/>
      <c r="L43" s="11" t="n"/>
      <c r="M43" s="11" t="n"/>
      <c r="N43" s="12" t="n"/>
      <c r="O43" s="13" t="inlineStr"/>
    </row>
    <row r="44" ht="30" customHeight="1">
      <c r="A44" s="7" t="n">
        <v>36</v>
      </c>
      <c r="B44" s="8" t="inlineStr">
        <is>
          <t>Strömdahls Plåtslageri AB</t>
        </is>
      </c>
      <c r="C44" s="9" t="inlineStr">
        <is>
          <t>Vänersborg</t>
        </is>
      </c>
      <c r="D44" s="9" t="inlineStr">
        <is>
          <t>Svetsargatan 3</t>
        </is>
      </c>
      <c r="E44" s="10" t="inlineStr">
        <is>
          <t>Plåtslageri och byggnadsplåt</t>
        </is>
      </c>
      <c r="F44" s="9" t="inlineStr">
        <is>
          <t>070-832 89 90</t>
        </is>
      </c>
      <c r="G44" s="7" t="inlineStr">
        <is>
          <t>Hög</t>
        </is>
      </c>
      <c r="H44" s="10" t="inlineStr">
        <is>
          <t>Ingen egen webbplats</t>
        </is>
      </c>
      <c r="I44" s="9" t="inlineStr"/>
      <c r="J44" s="7" t="inlineStr">
        <is>
          <t>A</t>
        </is>
      </c>
      <c r="K44" s="11" t="n"/>
      <c r="L44" s="11" t="n"/>
      <c r="M44" s="11" t="n"/>
      <c r="N44" s="12" t="n"/>
      <c r="O44" s="13" t="inlineStr"/>
    </row>
    <row r="45" ht="30" customHeight="1">
      <c r="A45" s="7" t="n">
        <v>37</v>
      </c>
      <c r="B45" s="8" t="inlineStr">
        <is>
          <t>Trestad Rör och Energi AB</t>
        </is>
      </c>
      <c r="C45" s="9" t="inlineStr">
        <is>
          <t>Vänersborg</t>
        </is>
      </c>
      <c r="D45" s="9" t="inlineStr">
        <is>
          <t>Oscar Kjellbergs Väg 9</t>
        </is>
      </c>
      <c r="E45" s="10" t="inlineStr">
        <is>
          <t>VVS, rör och energi</t>
        </is>
      </c>
      <c r="F45" s="9" t="inlineStr">
        <is>
          <t>072-250 39 ??</t>
        </is>
      </c>
      <c r="G45" s="7" t="inlineStr">
        <is>
          <t>Låg</t>
        </is>
      </c>
      <c r="H45" s="10" t="inlineStr">
        <is>
          <t>Ingen egen webbplats hittad</t>
        </is>
      </c>
      <c r="I45" s="9" t="inlineStr"/>
      <c r="J45" s="7" t="inlineStr">
        <is>
          <t>A</t>
        </is>
      </c>
      <c r="K45" s="11" t="n"/>
      <c r="L45" s="11" t="n"/>
      <c r="M45" s="11" t="n"/>
      <c r="N45" s="12" t="n"/>
      <c r="O45" s="13" t="inlineStr">
        <is>
          <t>Numret ofullständigt i källan – verifiera.</t>
        </is>
      </c>
    </row>
    <row r="46" ht="30" customHeight="1">
      <c r="A46" s="7" t="n">
        <v>38</v>
      </c>
      <c r="B46" s="8" t="inlineStr">
        <is>
          <t>Vbs Byggföretag</t>
        </is>
      </c>
      <c r="C46" s="9" t="inlineStr">
        <is>
          <t>Vänersborg</t>
        </is>
      </c>
      <c r="D46" s="9" t="inlineStr">
        <is>
          <t>Nabbensbergsvägen 48</t>
        </is>
      </c>
      <c r="E46" s="10" t="inlineStr">
        <is>
          <t>Byggföretag</t>
        </is>
      </c>
      <c r="F46" s="9" t="inlineStr">
        <is>
          <t>073-052 69 ??</t>
        </is>
      </c>
      <c r="G46" s="7" t="inlineStr">
        <is>
          <t>Låg</t>
        </is>
      </c>
      <c r="H46" s="10" t="inlineStr">
        <is>
          <t>Ingen egen webbplats</t>
        </is>
      </c>
      <c r="I46" s="9" t="inlineStr"/>
      <c r="J46" s="7" t="inlineStr">
        <is>
          <t>A</t>
        </is>
      </c>
      <c r="K46" s="11" t="n"/>
      <c r="L46" s="11" t="n"/>
      <c r="M46" s="11" t="n"/>
      <c r="N46" s="12" t="n"/>
      <c r="O46" s="13" t="inlineStr">
        <is>
          <t>Numret ofullständigt i källan – verifiera.</t>
        </is>
      </c>
    </row>
    <row r="47" ht="30" customHeight="1">
      <c r="A47" s="7" t="n">
        <v>39</v>
      </c>
      <c r="B47" s="8" t="inlineStr">
        <is>
          <t>Vänersborgs Måleri förening u.p.a</t>
        </is>
      </c>
      <c r="C47" s="9" t="inlineStr">
        <is>
          <t>Vänersborg</t>
        </is>
      </c>
      <c r="D47" s="9" t="inlineStr">
        <is>
          <t>Nygatan 71</t>
        </is>
      </c>
      <c r="E47" s="10" t="inlineStr">
        <is>
          <t>Måleri – golv, fönster, dörrar, trapphus, fasad</t>
        </is>
      </c>
      <c r="F47" s="9" t="inlineStr">
        <is>
          <t>0521-71 12 25</t>
        </is>
      </c>
      <c r="G47" s="7" t="inlineStr">
        <is>
          <t>Hög</t>
        </is>
      </c>
      <c r="H47" s="10" t="inlineStr">
        <is>
          <t>Ingen egen webbplats hittad</t>
        </is>
      </c>
      <c r="I47" s="9" t="inlineStr"/>
      <c r="J47" s="7" t="inlineStr">
        <is>
          <t>A</t>
        </is>
      </c>
      <c r="K47" s="11" t="n"/>
      <c r="L47" s="11" t="n"/>
      <c r="M47" s="11" t="n"/>
      <c r="N47" s="12" t="n"/>
      <c r="O47" s="13" t="inlineStr">
        <is>
          <t>Ekonomisk förening, org.nr 762500-1818.</t>
        </is>
      </c>
    </row>
    <row r="48" ht="30" customHeight="1">
      <c r="A48" s="7" t="n">
        <v>40</v>
      </c>
      <c r="B48" s="8" t="inlineStr">
        <is>
          <t>Byggtjänst Väst AB</t>
        </is>
      </c>
      <c r="C48" s="9" t="inlineStr">
        <is>
          <t>Vargön</t>
        </is>
      </c>
      <c r="D48" s="9" t="inlineStr">
        <is>
          <t>Ekelundsvägen 13</t>
        </is>
      </c>
      <c r="E48" s="10" t="inlineStr">
        <is>
          <t>Bygg- och entreprenadarbeten</t>
        </is>
      </c>
      <c r="F48" s="9" t="inlineStr">
        <is>
          <t>070-864 45 18</t>
        </is>
      </c>
      <c r="G48" s="7" t="inlineStr">
        <is>
          <t>Medel</t>
        </is>
      </c>
      <c r="H48" s="10" t="inlineStr">
        <is>
          <t>Ingen egen webbplats</t>
        </is>
      </c>
      <c r="I48" s="9" t="inlineStr"/>
      <c r="J48" s="7" t="inlineStr">
        <is>
          <t>A</t>
        </is>
      </c>
      <c r="K48" s="11" t="n"/>
      <c r="L48" s="11" t="n"/>
      <c r="M48" s="11" t="n"/>
      <c r="N48" s="12" t="n"/>
      <c r="O48" s="13" t="inlineStr">
        <is>
          <t>Alt. nummer 073-525 47 67.</t>
        </is>
      </c>
    </row>
    <row r="49" ht="30" customHeight="1">
      <c r="A49" s="7" t="n">
        <v>41</v>
      </c>
      <c r="B49" s="8" t="inlineStr">
        <is>
          <t>CJ Byggservice AB</t>
        </is>
      </c>
      <c r="C49" s="9" t="inlineStr">
        <is>
          <t>Vargön</t>
        </is>
      </c>
      <c r="D49" s="9" t="inlineStr">
        <is>
          <t>Tennisvägen 2</t>
        </is>
      </c>
      <c r="E49" s="10" t="inlineStr">
        <is>
          <t>Byggservice</t>
        </is>
      </c>
      <c r="F49" s="9" t="inlineStr">
        <is>
          <t>0521-22 05 06</t>
        </is>
      </c>
      <c r="G49" s="7" t="inlineStr">
        <is>
          <t>Hög</t>
        </is>
      </c>
      <c r="H49" s="10" t="inlineStr">
        <is>
          <t>Ingen egen webbplats</t>
        </is>
      </c>
      <c r="I49" s="9" t="inlineStr"/>
      <c r="J49" s="7" t="inlineStr">
        <is>
          <t>A</t>
        </is>
      </c>
      <c r="K49" s="11" t="n"/>
      <c r="L49" s="11" t="n"/>
      <c r="M49" s="11" t="n"/>
      <c r="N49" s="12" t="n"/>
      <c r="O49" s="13" t="inlineStr">
        <is>
          <t>Alt. nummer 070-526 04 xx (Sören Johansson).</t>
        </is>
      </c>
    </row>
    <row r="50" ht="30" customHeight="1">
      <c r="A50" s="7" t="n">
        <v>42</v>
      </c>
      <c r="B50" s="8" t="inlineStr">
        <is>
          <t>Aqua Hår Trollhättan</t>
        </is>
      </c>
      <c r="C50" s="9" t="inlineStr">
        <is>
          <t>Trollhättan</t>
        </is>
      </c>
      <c r="D50" s="9" t="inlineStr">
        <is>
          <t>Storgatan 37</t>
        </is>
      </c>
      <c r="E50" s="10" t="inlineStr">
        <is>
          <t>Frisörsalong med hårvård och kompletterande behandlingar</t>
        </is>
      </c>
      <c r="F50" s="9" t="inlineStr">
        <is>
          <t>0520-347 77</t>
        </is>
      </c>
      <c r="G50" s="7" t="inlineStr">
        <is>
          <t>Hög</t>
        </is>
      </c>
      <c r="H50" s="10" t="inlineStr">
        <is>
          <t>Ingen egen webbplats – bokning via extern tjänst (voady)</t>
        </is>
      </c>
      <c r="I50" s="9" t="inlineStr"/>
      <c r="J50" s="7" t="inlineStr">
        <is>
          <t>A</t>
        </is>
      </c>
      <c r="K50" s="11" t="n"/>
      <c r="L50" s="11" t="n"/>
      <c r="M50" s="11" t="n"/>
      <c r="N50" s="12" t="n"/>
      <c r="O50" s="13" t="inlineStr">
        <is>
          <t>E-post info@aquatrollhattan.se finns men leder inte till någon sajt.</t>
        </is>
      </c>
    </row>
    <row r="51" ht="30" customHeight="1">
      <c r="A51" s="7" t="n">
        <v>43</v>
      </c>
      <c r="B51" s="8" t="inlineStr">
        <is>
          <t>Kims Hårstudio</t>
        </is>
      </c>
      <c r="C51" s="9" t="inlineStr">
        <is>
          <t>Trollhättan</t>
        </is>
      </c>
      <c r="D51" s="9" t="inlineStr">
        <is>
          <t>Kungsgatan 16 B</t>
        </is>
      </c>
      <c r="E51" s="10" t="inlineStr">
        <is>
          <t>Frisör och barberare</t>
        </is>
      </c>
      <c r="F51" s="9" t="inlineStr">
        <is>
          <t>0520-133 80</t>
        </is>
      </c>
      <c r="G51" s="7" t="inlineStr">
        <is>
          <t>Hög</t>
        </is>
      </c>
      <c r="H51" s="10" t="inlineStr">
        <is>
          <t>Ingen egen webbplats</t>
        </is>
      </c>
      <c r="I51" s="9" t="inlineStr"/>
      <c r="J51" s="7" t="inlineStr">
        <is>
          <t>A</t>
        </is>
      </c>
      <c r="K51" s="11" t="n"/>
      <c r="L51" s="11" t="n"/>
      <c r="M51" s="11" t="n"/>
      <c r="N51" s="12" t="n"/>
      <c r="O51" s="13" t="inlineStr"/>
    </row>
    <row r="52" ht="30" customHeight="1">
      <c r="A52" s="7" t="n">
        <v>44</v>
      </c>
      <c r="B52" s="8" t="inlineStr">
        <is>
          <t>LK All Service</t>
        </is>
      </c>
      <c r="C52" s="9" t="inlineStr">
        <is>
          <t>Trollhättan</t>
        </is>
      </c>
      <c r="D52" s="9" t="inlineStr">
        <is>
          <t>Drottningtorget 1</t>
        </is>
      </c>
      <c r="E52" s="10" t="inlineStr">
        <is>
          <t>Städ och allservice</t>
        </is>
      </c>
      <c r="F52" s="9" t="inlineStr">
        <is>
          <t>072-395 87 ??</t>
        </is>
      </c>
      <c r="G52" s="7" t="inlineStr">
        <is>
          <t>Låg</t>
        </is>
      </c>
      <c r="H52" s="10" t="inlineStr">
        <is>
          <t>Ingen egen webbplats</t>
        </is>
      </c>
      <c r="I52" s="9" t="inlineStr"/>
      <c r="J52" s="7" t="inlineStr">
        <is>
          <t>A</t>
        </is>
      </c>
      <c r="K52" s="11" t="n"/>
      <c r="L52" s="11" t="n"/>
      <c r="M52" s="11" t="n"/>
      <c r="N52" s="12" t="n"/>
      <c r="O52" s="13" t="inlineStr">
        <is>
          <t>Numret ofullständigt i källan – verifiera.</t>
        </is>
      </c>
    </row>
    <row r="53" ht="30" customHeight="1">
      <c r="A53" s="7" t="n">
        <v>45</v>
      </c>
      <c r="B53" s="8" t="inlineStr">
        <is>
          <t>Salong Apollo</t>
        </is>
      </c>
      <c r="C53" s="9" t="inlineStr">
        <is>
          <t>Trollhättan</t>
        </is>
      </c>
      <c r="D53" s="9" t="inlineStr">
        <is>
          <t>Storgatan 26</t>
        </is>
      </c>
      <c r="E53" s="10" t="inlineStr">
        <is>
          <t>Frisörsalong, tar emot drop-in</t>
        </is>
      </c>
      <c r="F53" s="9" t="inlineStr">
        <is>
          <t>0520-42 97 00</t>
        </is>
      </c>
      <c r="G53" s="7" t="inlineStr">
        <is>
          <t>Hög</t>
        </is>
      </c>
      <c r="H53" s="10" t="inlineStr">
        <is>
          <t>Ingen egen webbplats – endast Facebook</t>
        </is>
      </c>
      <c r="I53" s="9" t="inlineStr"/>
      <c r="J53" s="7" t="inlineStr">
        <is>
          <t>A</t>
        </is>
      </c>
      <c r="K53" s="11" t="n"/>
      <c r="L53" s="11" t="n"/>
      <c r="M53" s="11" t="n"/>
      <c r="N53" s="12" t="n"/>
      <c r="O53" s="13" t="inlineStr"/>
    </row>
    <row r="54" ht="30" customHeight="1">
      <c r="A54" s="7" t="n">
        <v>46</v>
      </c>
      <c r="B54" s="8" t="inlineStr">
        <is>
          <t>Salong Elegance</t>
        </is>
      </c>
      <c r="C54" s="9" t="inlineStr">
        <is>
          <t>Trollhättan</t>
        </is>
      </c>
      <c r="D54" s="9" t="inlineStr">
        <is>
          <t>Kungsgatan 17</t>
        </is>
      </c>
      <c r="E54" s="10" t="inlineStr">
        <is>
          <t>Frisörsalong</t>
        </is>
      </c>
      <c r="F54" s="9" t="inlineStr">
        <is>
          <t>0520-704 ??</t>
        </is>
      </c>
      <c r="G54" s="7" t="inlineStr">
        <is>
          <t>Låg</t>
        </is>
      </c>
      <c r="H54" s="10" t="inlineStr">
        <is>
          <t>Ingen egen webbplats hittad</t>
        </is>
      </c>
      <c r="I54" s="9" t="inlineStr"/>
      <c r="J54" s="7" t="inlineStr">
        <is>
          <t>A</t>
        </is>
      </c>
      <c r="K54" s="11" t="n"/>
      <c r="L54" s="11" t="n"/>
      <c r="M54" s="11" t="n"/>
      <c r="N54" s="12" t="n"/>
      <c r="O54" s="13" t="inlineStr">
        <is>
          <t>Numret ofullständigt i källan – verifiera.</t>
        </is>
      </c>
    </row>
    <row r="55" ht="30" customHeight="1">
      <c r="A55" s="7" t="n">
        <v>47</v>
      </c>
      <c r="B55" s="8" t="inlineStr">
        <is>
          <t>Salong Luna</t>
        </is>
      </c>
      <c r="C55" s="9" t="inlineStr">
        <is>
          <t>Trollhättan</t>
        </is>
      </c>
      <c r="D55" s="9" t="inlineStr">
        <is>
          <t>Trollhättan</t>
        </is>
      </c>
      <c r="E55" s="10" t="inlineStr">
        <is>
          <t>Frisörsalong</t>
        </is>
      </c>
      <c r="F55" s="9" t="inlineStr">
        <is>
          <t>0520-100 04</t>
        </is>
      </c>
      <c r="G55" s="7" t="inlineStr">
        <is>
          <t>Medel</t>
        </is>
      </c>
      <c r="H55" s="10" t="inlineStr">
        <is>
          <t>Ingen egen webbplats – bokning via Bokadirekt</t>
        </is>
      </c>
      <c r="I55" s="9" t="inlineStr"/>
      <c r="J55" s="7" t="inlineStr">
        <is>
          <t>A</t>
        </is>
      </c>
      <c r="K55" s="11" t="n"/>
      <c r="L55" s="11" t="n"/>
      <c r="M55" s="11" t="n"/>
      <c r="N55" s="12" t="n"/>
      <c r="O55" s="13" t="inlineStr"/>
    </row>
    <row r="56" ht="30" customHeight="1">
      <c r="A56" s="7" t="n">
        <v>48</v>
      </c>
      <c r="B56" s="8" t="inlineStr">
        <is>
          <t>Studio Fem</t>
        </is>
      </c>
      <c r="C56" s="9" t="inlineStr">
        <is>
          <t>Trollhättan</t>
        </is>
      </c>
      <c r="D56" s="9" t="inlineStr">
        <is>
          <t>Kungsgatan 18</t>
        </is>
      </c>
      <c r="E56" s="10" t="inlineStr">
        <is>
          <t>Frisörsalong</t>
        </is>
      </c>
      <c r="F56" s="9" t="inlineStr">
        <is>
          <t>0520-41 19 ??</t>
        </is>
      </c>
      <c r="G56" s="7" t="inlineStr">
        <is>
          <t>Låg</t>
        </is>
      </c>
      <c r="H56" s="10" t="inlineStr">
        <is>
          <t>Ingen egen webbplats hittad</t>
        </is>
      </c>
      <c r="I56" s="9" t="inlineStr"/>
      <c r="J56" s="7" t="inlineStr">
        <is>
          <t>A</t>
        </is>
      </c>
      <c r="K56" s="11" t="n"/>
      <c r="L56" s="11" t="n"/>
      <c r="M56" s="11" t="n"/>
      <c r="N56" s="12" t="n"/>
      <c r="O56" s="13" t="inlineStr">
        <is>
          <t>Numret ofullständigt i källan – verifiera.</t>
        </is>
      </c>
    </row>
    <row r="57" ht="30" customHeight="1">
      <c r="A57" s="7" t="n">
        <v>49</v>
      </c>
      <c r="B57" s="8" t="inlineStr">
        <is>
          <t>Trollhättan Rent &amp; Redo</t>
        </is>
      </c>
      <c r="C57" s="9" t="inlineStr">
        <is>
          <t>Trollhättan</t>
        </is>
      </c>
      <c r="D57" s="9" t="inlineStr">
        <is>
          <t>Myrgången 85</t>
        </is>
      </c>
      <c r="E57" s="10" t="inlineStr">
        <is>
          <t>Städservice</t>
        </is>
      </c>
      <c r="F57" s="9" t="inlineStr">
        <is>
          <t>070-497 83 ??</t>
        </is>
      </c>
      <c r="G57" s="7" t="inlineStr">
        <is>
          <t>Låg</t>
        </is>
      </c>
      <c r="H57" s="10" t="inlineStr">
        <is>
          <t>Ingen egen webbplats</t>
        </is>
      </c>
      <c r="I57" s="9" t="inlineStr"/>
      <c r="J57" s="7" t="inlineStr">
        <is>
          <t>A</t>
        </is>
      </c>
      <c r="K57" s="11" t="n"/>
      <c r="L57" s="11" t="n"/>
      <c r="M57" s="11" t="n"/>
      <c r="N57" s="12" t="n"/>
      <c r="O57" s="13" t="inlineStr">
        <is>
          <t>Numret ofullständigt i källan – verifiera.</t>
        </is>
      </c>
    </row>
    <row r="58" ht="30" customHeight="1">
      <c r="A58" s="7" t="n">
        <v>50</v>
      </c>
      <c r="B58" s="8" t="inlineStr">
        <is>
          <t>Trollhättans Svets- och Plåtservice</t>
        </is>
      </c>
      <c r="C58" s="9" t="inlineStr">
        <is>
          <t>Trollhättan</t>
        </is>
      </c>
      <c r="D58" s="9" t="inlineStr">
        <is>
          <t>Kardanvägen 32</t>
        </is>
      </c>
      <c r="E58" s="10" t="inlineStr">
        <is>
          <t>Svets, smide och plåtservice</t>
        </is>
      </c>
      <c r="F58" s="9" t="inlineStr">
        <is>
          <t>0520-326 00</t>
        </is>
      </c>
      <c r="G58" s="7" t="inlineStr">
        <is>
          <t>Hög</t>
        </is>
      </c>
      <c r="H58" s="10" t="inlineStr">
        <is>
          <t>Ingen egen webbplats – endast katalogsidor</t>
        </is>
      </c>
      <c r="I58" s="9" t="inlineStr"/>
      <c r="J58" s="7" t="inlineStr">
        <is>
          <t>A</t>
        </is>
      </c>
      <c r="K58" s="11" t="n"/>
      <c r="L58" s="11" t="n"/>
      <c r="M58" s="11" t="n"/>
      <c r="N58" s="12" t="n"/>
      <c r="O58" s="13" t="inlineStr"/>
    </row>
    <row r="59" ht="30" customHeight="1">
      <c r="A59" s="7" t="n">
        <v>51</v>
      </c>
      <c r="B59" s="8" t="inlineStr">
        <is>
          <t>Welanders Bilverkstad AB</t>
        </is>
      </c>
      <c r="C59" s="9" t="inlineStr">
        <is>
          <t>Trollhättan</t>
        </is>
      </c>
      <c r="D59" s="9" t="inlineStr">
        <is>
          <t>Verkmästarevägen 23</t>
        </is>
      </c>
      <c r="E59" s="10" t="inlineStr">
        <is>
          <t>Allbilsverkstad sedan 1970 – service och reparation av de flesta bilmärken</t>
        </is>
      </c>
      <c r="F59" s="9" t="inlineStr">
        <is>
          <t>073-034 72 15</t>
        </is>
      </c>
      <c r="G59" s="7" t="inlineStr">
        <is>
          <t>Medel</t>
        </is>
      </c>
      <c r="H59" s="10" t="inlineStr">
        <is>
          <t>Ingen egen webbplats</t>
        </is>
      </c>
      <c r="I59" s="9" t="inlineStr"/>
      <c r="J59" s="7" t="inlineStr">
        <is>
          <t>A</t>
        </is>
      </c>
      <c r="K59" s="11" t="n"/>
      <c r="L59" s="11" t="n"/>
      <c r="M59" s="11" t="n"/>
      <c r="N59" s="12" t="n"/>
      <c r="O59" s="13" t="inlineStr">
        <is>
          <t>Alt. nummer 0520-320 80. Öppet mån-fre 07-16, lunch 13-14.</t>
        </is>
      </c>
    </row>
    <row r="60" ht="30" customHeight="1">
      <c r="A60" s="7" t="n">
        <v>52</v>
      </c>
      <c r="B60" s="8" t="inlineStr">
        <is>
          <t>Auto Mekano Brålanda AB</t>
        </is>
      </c>
      <c r="C60" s="9" t="inlineStr">
        <is>
          <t>Brålanda</t>
        </is>
      </c>
      <c r="D60" s="9" t="inlineStr">
        <is>
          <t>Stenhammarsvägen 47</t>
        </is>
      </c>
      <c r="E60" s="10" t="inlineStr">
        <is>
          <t>Märkesoberoende bilverkstad – service och reparation av bilar och motorfordon</t>
        </is>
      </c>
      <c r="F60" s="9" t="inlineStr">
        <is>
          <t>0521-302 54</t>
        </is>
      </c>
      <c r="G60" s="7" t="inlineStr">
        <is>
          <t>Hög</t>
        </is>
      </c>
      <c r="H60" s="10" t="inlineStr">
        <is>
          <t>Egen domän finns (e-post) men ingen webbplats hittad i sök</t>
        </is>
      </c>
      <c r="I60" s="9" t="inlineStr">
        <is>
          <t>auto-mekano.se</t>
        </is>
      </c>
      <c r="J60" s="7" t="inlineStr">
        <is>
          <t>B</t>
        </is>
      </c>
      <c r="K60" s="11" t="n"/>
      <c r="L60" s="11" t="n"/>
      <c r="M60" s="11" t="n"/>
      <c r="N60" s="12" t="n"/>
      <c r="O60" s="13" t="inlineStr">
        <is>
          <t>Domän utan synlig sajt = möjlig lucka. Kolla live innan samtal. Öppet mån-tors 07-16, fre 07-15.</t>
        </is>
      </c>
    </row>
    <row r="61" ht="30" customHeight="1">
      <c r="A61" s="7" t="n">
        <v>53</v>
      </c>
      <c r="B61" s="8" t="inlineStr">
        <is>
          <t>Brålanda Pizzeria</t>
        </is>
      </c>
      <c r="C61" s="9" t="inlineStr">
        <is>
          <t>Brålanda</t>
        </is>
      </c>
      <c r="D61" s="9" t="inlineStr">
        <is>
          <t>Storgatan 9</t>
        </is>
      </c>
      <c r="E61" s="10" t="inlineStr">
        <is>
          <t>Pizzeria</t>
        </is>
      </c>
      <c r="F61" s="9" t="inlineStr">
        <is>
          <t>0521-314 03</t>
        </is>
      </c>
      <c r="G61" s="7" t="inlineStr">
        <is>
          <t>Medel</t>
        </is>
      </c>
      <c r="H61" s="10" t="inlineStr">
        <is>
          <t>Två parallella webbplatser, varav en gammal http-sida</t>
        </is>
      </c>
      <c r="I61" s="9" t="inlineStr">
        <is>
          <t>bralandapizzeria.se / pizzeriabralanda.se</t>
        </is>
      </c>
      <c r="J61" s="7" t="inlineStr">
        <is>
          <t>B</t>
        </is>
      </c>
      <c r="K61" s="11" t="n"/>
      <c r="L61" s="11" t="n"/>
      <c r="M61" s="11" t="n"/>
      <c r="N61" s="12" t="n"/>
      <c r="O61" s="13" t="inlineStr">
        <is>
          <t>Dubbel och delvis utdaterad webbnärvaro – tydligt uppstädningsbehov.</t>
        </is>
      </c>
    </row>
    <row r="62" ht="30" customHeight="1">
      <c r="A62" s="7" t="n">
        <v>54</v>
      </c>
      <c r="B62" s="8" t="inlineStr">
        <is>
          <t>Gatans Entreprenad AB Brålanda</t>
        </is>
      </c>
      <c r="C62" s="9" t="inlineStr">
        <is>
          <t>Brålanda</t>
        </is>
      </c>
      <c r="D62" s="9" t="inlineStr">
        <is>
          <t>Stenhammarsvägen 47</t>
        </is>
      </c>
      <c r="E62" s="10" t="inlineStr">
        <is>
          <t>Uthyrning av bygg- och anläggningsmaskiner med förare</t>
        </is>
      </c>
      <c r="F62" s="9" t="inlineStr">
        <is>
          <t>070-673 01 07</t>
        </is>
      </c>
      <c r="G62" s="7" t="inlineStr">
        <is>
          <t>Hög</t>
        </is>
      </c>
      <c r="H62" s="10" t="inlineStr">
        <is>
          <t>Webbplats med gammal CMS-struktur (index.php)</t>
        </is>
      </c>
      <c r="I62" s="9" t="inlineStr">
        <is>
          <t>gatansentreprenad.se</t>
        </is>
      </c>
      <c r="J62" s="7" t="inlineStr">
        <is>
          <t>B</t>
        </is>
      </c>
      <c r="K62" s="11" t="n"/>
      <c r="L62" s="11" t="n"/>
      <c r="M62" s="11" t="n"/>
      <c r="N62" s="12" t="n"/>
      <c r="O62" s="13" t="inlineStr">
        <is>
          <t>Kandidat för 'utdaterad webbplats' – kolla live.</t>
        </is>
      </c>
    </row>
    <row r="63" ht="30" customHeight="1">
      <c r="A63" s="7" t="n">
        <v>55</v>
      </c>
      <c r="B63" s="8" t="inlineStr">
        <is>
          <t>Oscarssons Mark &amp; Entreprenad i Mellerud AB</t>
        </is>
      </c>
      <c r="C63" s="9" t="inlineStr">
        <is>
          <t>Brålanda</t>
        </is>
      </c>
      <c r="D63" s="9" t="inlineStr">
        <is>
          <t>Törnrosgatan 5</t>
        </is>
      </c>
      <c r="E63" s="10" t="inlineStr">
        <is>
          <t>Uthyrning av entreprenadmaskiner, kompletta markarbeten och rivning</t>
        </is>
      </c>
      <c r="F63" s="9" t="inlineStr">
        <is>
          <t>0530-411 00</t>
        </is>
      </c>
      <c r="G63" s="7" t="inlineStr">
        <is>
          <t>Medel</t>
        </is>
      </c>
      <c r="H63" s="10" t="inlineStr">
        <is>
          <t>Egen domän finns (e-post), webbplats ej bekräftad</t>
        </is>
      </c>
      <c r="I63" s="9" t="inlineStr">
        <is>
          <t>oscarssonsmark.se</t>
        </is>
      </c>
      <c r="J63" s="7" t="inlineStr">
        <is>
          <t>B</t>
        </is>
      </c>
      <c r="K63" s="11" t="n"/>
      <c r="L63" s="11" t="n"/>
      <c r="M63" s="11" t="n"/>
      <c r="N63" s="12" t="n"/>
      <c r="O63" s="13" t="inlineStr">
        <is>
          <t>OBS: samma nummer listas även för Nya Glasmästeriet i Mellerud – verifiera innan samtal.</t>
        </is>
      </c>
    </row>
    <row r="64" ht="30" customHeight="1">
      <c r="A64" s="7" t="n">
        <v>56</v>
      </c>
      <c r="B64" s="8" t="inlineStr">
        <is>
          <t>Rökila Bilservice AB (Mekonomen Brålanda)</t>
        </is>
      </c>
      <c r="C64" s="9" t="inlineStr">
        <is>
          <t>Brålanda</t>
        </is>
      </c>
      <c r="D64" s="9" t="inlineStr">
        <is>
          <t>Rökila 130</t>
        </is>
      </c>
      <c r="E64" s="10" t="inlineStr">
        <is>
          <t>Bilverkstad ansluten till Mekonomen</t>
        </is>
      </c>
      <c r="F64" s="9" t="inlineStr">
        <is>
          <t>0521-310 04</t>
        </is>
      </c>
      <c r="G64" s="7" t="inlineStr">
        <is>
          <t>Hög</t>
        </is>
      </c>
      <c r="H64" s="10" t="inlineStr">
        <is>
          <t>Ingen egen webbplats – ligger under kedjans sajt</t>
        </is>
      </c>
      <c r="I64" s="9" t="inlineStr">
        <is>
          <t>mekonomen.se (kedjesida)</t>
        </is>
      </c>
      <c r="J64" s="7" t="inlineStr">
        <is>
          <t>B</t>
        </is>
      </c>
      <c r="K64" s="11" t="n"/>
      <c r="L64" s="11" t="n"/>
      <c r="M64" s="11" t="n"/>
      <c r="N64" s="12" t="n"/>
      <c r="O64" s="13" t="inlineStr">
        <is>
          <t>Kedjesida ger ingen egen synlighet lokalt.</t>
        </is>
      </c>
    </row>
    <row r="65" ht="30" customHeight="1">
      <c r="A65" s="7" t="n">
        <v>57</v>
      </c>
      <c r="B65" s="8" t="inlineStr">
        <is>
          <t>Åttersruds Bygdegårdsförening</t>
        </is>
      </c>
      <c r="C65" s="9" t="inlineStr">
        <is>
          <t>Brålanda</t>
        </is>
      </c>
      <c r="D65" s="9" t="inlineStr">
        <is>
          <t>Åttersrud 300</t>
        </is>
      </c>
      <c r="E65" s="10" t="inlineStr">
        <is>
          <t>Bygdegård och festlokal för 150 personer – uthyrning med kök, dansgolv och scen</t>
        </is>
      </c>
      <c r="F65" s="9" t="inlineStr">
        <is>
          <t>070-520 81 38</t>
        </is>
      </c>
      <c r="G65" s="7" t="inlineStr">
        <is>
          <t>Hög</t>
        </is>
      </c>
      <c r="H65" s="10" t="inlineStr">
        <is>
          <t>Enkel mallsida via Bygdegårdarnas riksförbund</t>
        </is>
      </c>
      <c r="I65" s="9" t="inlineStr">
        <is>
          <t>attersrudsbygdegard.se</t>
        </is>
      </c>
      <c r="J65" s="7" t="inlineStr">
        <is>
          <t>B</t>
        </is>
      </c>
      <c r="K65" s="11" t="n"/>
      <c r="L65" s="11" t="n"/>
      <c r="M65" s="11" t="n"/>
      <c r="N65" s="12" t="n"/>
      <c r="O65" s="13" t="inlineStr">
        <is>
          <t>Förbundsmall, ingen egen profil.</t>
        </is>
      </c>
    </row>
    <row r="66" ht="30" customHeight="1">
      <c r="A66" s="7" t="n">
        <v>58</v>
      </c>
      <c r="B66" s="8" t="inlineStr">
        <is>
          <t>BN Åkeri och Transport i Vänersborg AB</t>
        </is>
      </c>
      <c r="C66" s="9" t="inlineStr">
        <is>
          <t>Frändefors</t>
        </is>
      </c>
      <c r="D66" s="9" t="inlineStr">
        <is>
          <t>Ekenäs 315/323</t>
        </is>
      </c>
      <c r="E66" s="10" t="inlineStr">
        <is>
          <t>Åkeri och transport</t>
        </is>
      </c>
      <c r="F66" s="9" t="inlineStr"/>
      <c r="G66" s="7" t="inlineStr">
        <is>
          <t>Saknas</t>
        </is>
      </c>
      <c r="H66" s="10" t="inlineStr">
        <is>
          <t>Ingen egen webbplats</t>
        </is>
      </c>
      <c r="I66" s="9" t="inlineStr"/>
      <c r="J66" s="7" t="inlineStr">
        <is>
          <t>B</t>
        </is>
      </c>
      <c r="K66" s="11" t="n"/>
      <c r="L66" s="11" t="n"/>
      <c r="M66" s="11" t="n"/>
      <c r="N66" s="12" t="n"/>
      <c r="O66" s="13" t="inlineStr">
        <is>
          <t>Inget telefonnummer registrerat i öppna register.</t>
        </is>
      </c>
    </row>
    <row r="67" ht="30" customHeight="1">
      <c r="A67" s="7" t="n">
        <v>59</v>
      </c>
      <c r="B67" s="8" t="inlineStr">
        <is>
          <t>Frändefors Bygg AB</t>
        </is>
      </c>
      <c r="C67" s="9" t="inlineStr">
        <is>
          <t>Frändefors</t>
        </is>
      </c>
      <c r="D67" s="9" t="inlineStr">
        <is>
          <t>Myren 150</t>
        </is>
      </c>
      <c r="E67" s="10" t="inlineStr">
        <is>
          <t>Byggverksamhet</t>
        </is>
      </c>
      <c r="F67" s="9" t="inlineStr"/>
      <c r="G67" s="7" t="inlineStr">
        <is>
          <t>Saknas</t>
        </is>
      </c>
      <c r="H67" s="10" t="inlineStr">
        <is>
          <t>Ingen egen webbplats</t>
        </is>
      </c>
      <c r="I67" s="9" t="inlineStr"/>
      <c r="J67" s="7" t="inlineStr">
        <is>
          <t>B</t>
        </is>
      </c>
      <c r="K67" s="11" t="n"/>
      <c r="L67" s="11" t="n"/>
      <c r="M67" s="11" t="n"/>
      <c r="N67" s="12" t="n"/>
      <c r="O67" s="13" t="inlineStr">
        <is>
          <t>Inget telefonnummer registrerat i öppna register – sök upp ägaren.</t>
        </is>
      </c>
    </row>
    <row r="68" ht="30" customHeight="1">
      <c r="A68" s="7" t="n">
        <v>60</v>
      </c>
      <c r="B68" s="8" t="inlineStr">
        <is>
          <t>Däckarna i Mellerud AB / Däckteam</t>
        </is>
      </c>
      <c r="C68" s="9" t="inlineStr">
        <is>
          <t>Mellerud</t>
        </is>
      </c>
      <c r="D68" s="9" t="inlineStr">
        <is>
          <t>Verkstadsgatan 6</t>
        </is>
      </c>
      <c r="E68" s="10" t="inlineStr">
        <is>
          <t>Däckverkstad</t>
        </is>
      </c>
      <c r="F68" s="9" t="inlineStr">
        <is>
          <t>0530-101 77</t>
        </is>
      </c>
      <c r="G68" s="7" t="inlineStr">
        <is>
          <t>Hög</t>
        </is>
      </c>
      <c r="H68" s="10" t="inlineStr">
        <is>
          <t>Ingen egen webbplats – ligger under kedjans sajt</t>
        </is>
      </c>
      <c r="I68" s="9" t="inlineStr">
        <is>
          <t>dackteam.se (kedjesida)</t>
        </is>
      </c>
      <c r="J68" s="7" t="inlineStr">
        <is>
          <t>B</t>
        </is>
      </c>
      <c r="K68" s="11" t="n"/>
      <c r="L68" s="11" t="n"/>
      <c r="M68" s="11" t="n"/>
      <c r="N68" s="12" t="n"/>
      <c r="O68" s="13" t="inlineStr"/>
    </row>
    <row r="69" ht="30" customHeight="1">
      <c r="A69" s="7" t="n">
        <v>61</v>
      </c>
      <c r="B69" s="8" t="inlineStr">
        <is>
          <t>Helges Bil o Verkstad HB</t>
        </is>
      </c>
      <c r="C69" s="9" t="inlineStr">
        <is>
          <t>Mellerud</t>
        </is>
      </c>
      <c r="D69" s="9" t="inlineStr">
        <is>
          <t>Bråbol 4</t>
        </is>
      </c>
      <c r="E69" s="10" t="inlineStr">
        <is>
          <t>Bilverkstad</t>
        </is>
      </c>
      <c r="F69" s="9" t="inlineStr">
        <is>
          <t>Osäkert</t>
        </is>
      </c>
      <c r="G69" s="7" t="inlineStr">
        <is>
          <t>Låg</t>
        </is>
      </c>
      <c r="H69" s="10" t="inlineStr">
        <is>
          <t>Ingen egen webbplats</t>
        </is>
      </c>
      <c r="I69" s="9" t="inlineStr"/>
      <c r="J69" s="7" t="inlineStr">
        <is>
          <t>B</t>
        </is>
      </c>
      <c r="K69" s="11" t="n"/>
      <c r="L69" s="11" t="n"/>
      <c r="M69" s="11" t="n"/>
      <c r="N69" s="12" t="n"/>
      <c r="O69" s="13" t="inlineStr">
        <is>
          <t>Källorna ger motstridiga nummer (0520-713 40 resp. 0530-109xx) och två adresser. Verifiera.</t>
        </is>
      </c>
    </row>
    <row r="70" ht="30" customHeight="1">
      <c r="A70" s="7" t="n">
        <v>62</v>
      </c>
      <c r="B70" s="8" t="inlineStr">
        <is>
          <t>Nya Glasmästeriet HB</t>
        </is>
      </c>
      <c r="C70" s="9" t="inlineStr">
        <is>
          <t>Mellerud</t>
        </is>
      </c>
      <c r="D70" s="9" t="inlineStr">
        <is>
          <t>Sapphultsgatan 7</t>
        </is>
      </c>
      <c r="E70" s="10" t="inlineStr">
        <is>
          <t>Glasmästeri och bilglas</t>
        </is>
      </c>
      <c r="F70" s="9" t="inlineStr">
        <is>
          <t>0530-131 27</t>
        </is>
      </c>
      <c r="G70" s="7" t="inlineStr">
        <is>
          <t>Låg</t>
        </is>
      </c>
      <c r="H70" s="10" t="inlineStr">
        <is>
          <t>Ingen egen – kopplad till wressels.se</t>
        </is>
      </c>
      <c r="I70" s="9" t="inlineStr">
        <is>
          <t>wressels.se</t>
        </is>
      </c>
      <c r="J70" s="7" t="inlineStr">
        <is>
          <t>B</t>
        </is>
      </c>
      <c r="K70" s="11" t="n"/>
      <c r="L70" s="11" t="n"/>
      <c r="M70" s="11" t="n"/>
      <c r="N70" s="12" t="n"/>
      <c r="O70" s="13" t="inlineStr">
        <is>
          <t>Källor anger även 0530-411 00 och 070-441 32 69. Verifiera vilket som gäller.</t>
        </is>
      </c>
    </row>
    <row r="71" ht="30" customHeight="1">
      <c r="A71" s="7" t="n">
        <v>63</v>
      </c>
      <c r="B71" s="8" t="inlineStr">
        <is>
          <t>Peter Svensson Plåtslageri i Mellerud AB</t>
        </is>
      </c>
      <c r="C71" s="9" t="inlineStr">
        <is>
          <t>Mellerud</t>
        </is>
      </c>
      <c r="D71" s="9" t="inlineStr">
        <is>
          <t>Verkstadsgatan 1</t>
        </is>
      </c>
      <c r="E71" s="10" t="inlineStr">
        <is>
          <t>Plåtslageri, medlem i Plåtslageriernas Riksförbund</t>
        </is>
      </c>
      <c r="F71" s="9" t="inlineStr">
        <is>
          <t>0530-417 34</t>
        </is>
      </c>
      <c r="G71" s="7" t="inlineStr">
        <is>
          <t>Hög</t>
        </is>
      </c>
      <c r="H71" s="10" t="inlineStr">
        <is>
          <t>Mycket gammal webbplats med numrerade html-sidor (t.ex. 5.html)</t>
        </is>
      </c>
      <c r="I71" s="9" t="inlineStr">
        <is>
          <t>petersplåt.com</t>
        </is>
      </c>
      <c r="J71" s="7" t="inlineStr">
        <is>
          <t>B</t>
        </is>
      </c>
      <c r="K71" s="11" t="n"/>
      <c r="L71" s="11" t="n"/>
      <c r="M71" s="11" t="n"/>
      <c r="N71" s="12" t="n"/>
      <c r="O71" s="13" t="inlineStr">
        <is>
          <t>Sidstrukturen tyder på en sajt som inte rörts på många år. Mobil 070-794 01 70.</t>
        </is>
      </c>
    </row>
    <row r="72" ht="30" customHeight="1">
      <c r="A72" s="7" t="n">
        <v>64</v>
      </c>
      <c r="B72" s="8" t="inlineStr">
        <is>
          <t>Roy Andersson Bilbolaget</t>
        </is>
      </c>
      <c r="C72" s="9" t="inlineStr">
        <is>
          <t>Mellerud</t>
        </is>
      </c>
      <c r="D72" s="9" t="inlineStr">
        <is>
          <t>Sapphultsgatan 6</t>
        </is>
      </c>
      <c r="E72" s="10" t="inlineStr">
        <is>
          <t>Bilverkstad – Mercedes, Saab, Opel, Hyundai och Fiat</t>
        </is>
      </c>
      <c r="F72" s="9" t="inlineStr">
        <is>
          <t>0530-444 40</t>
        </is>
      </c>
      <c r="G72" s="7" t="inlineStr">
        <is>
          <t>Hög</t>
        </is>
      </c>
      <c r="H72" s="10" t="inlineStr">
        <is>
          <t>Ingen egen webbplats – ligger under Autoexperten</t>
        </is>
      </c>
      <c r="I72" s="9" t="inlineStr">
        <is>
          <t>autoexperten.se (kedjesida)</t>
        </is>
      </c>
      <c r="J72" s="7" t="inlineStr">
        <is>
          <t>B</t>
        </is>
      </c>
      <c r="K72" s="11" t="n"/>
      <c r="L72" s="11" t="n"/>
      <c r="M72" s="11" t="n"/>
      <c r="N72" s="12" t="n"/>
      <c r="O72" s="13" t="inlineStr">
        <is>
          <t>Öppet mån-fre 07:30-16:30.</t>
        </is>
      </c>
    </row>
    <row r="73" ht="30" customHeight="1">
      <c r="A73" s="7" t="n">
        <v>65</v>
      </c>
      <c r="B73" s="8" t="inlineStr">
        <is>
          <t>Djurkliniken i Vänersborg AB</t>
        </is>
      </c>
      <c r="C73" s="9" t="inlineStr">
        <is>
          <t>Vänersborg</t>
        </is>
      </c>
      <c r="D73" s="9" t="inlineStr">
        <is>
          <t>Vänersborg</t>
        </is>
      </c>
      <c r="E73" s="10" t="inlineStr">
        <is>
          <t>Veterinär och djurklinik</t>
        </is>
      </c>
      <c r="F73" s="9" t="inlineStr">
        <is>
          <t>0521-639 90</t>
        </is>
      </c>
      <c r="G73" s="7" t="inlineStr">
        <is>
          <t>Medel</t>
        </is>
      </c>
      <c r="H73" s="10" t="inlineStr">
        <is>
          <t>Ej bekräftad</t>
        </is>
      </c>
      <c r="I73" s="9" t="inlineStr"/>
      <c r="J73" s="7" t="inlineStr">
        <is>
          <t>B</t>
        </is>
      </c>
      <c r="K73" s="11" t="n"/>
      <c r="L73" s="11" t="n"/>
      <c r="M73" s="11" t="n"/>
      <c r="N73" s="12" t="n"/>
      <c r="O73" s="13" t="inlineStr"/>
    </row>
    <row r="74" ht="30" customHeight="1">
      <c r="A74" s="7" t="n">
        <v>66</v>
      </c>
      <c r="B74" s="8" t="inlineStr">
        <is>
          <t>Glas O Metall i Trestad</t>
        </is>
      </c>
      <c r="C74" s="9" t="inlineStr">
        <is>
          <t>Vänersborg</t>
        </is>
      </c>
      <c r="D74" s="9" t="inlineStr">
        <is>
          <t>Skräcklegatan 2</t>
        </is>
      </c>
      <c r="E74" s="10" t="inlineStr">
        <is>
          <t>Glas och metall</t>
        </is>
      </c>
      <c r="F74" s="9" t="inlineStr"/>
      <c r="G74" s="7" t="inlineStr">
        <is>
          <t>Saknas</t>
        </is>
      </c>
      <c r="H74" s="10" t="inlineStr">
        <is>
          <t>Ingen egen webbplats hittad</t>
        </is>
      </c>
      <c r="I74" s="9" t="inlineStr"/>
      <c r="J74" s="7" t="inlineStr">
        <is>
          <t>B</t>
        </is>
      </c>
      <c r="K74" s="11" t="n"/>
      <c r="L74" s="11" t="n"/>
      <c r="M74" s="11" t="n"/>
      <c r="N74" s="12" t="n"/>
      <c r="O74" s="13" t="inlineStr">
        <is>
          <t>Telefonnummer ej funnet i öppna källor.</t>
        </is>
      </c>
    </row>
    <row r="75" ht="30" customHeight="1">
      <c r="A75" s="7" t="n">
        <v>67</v>
      </c>
      <c r="B75" s="8" t="inlineStr">
        <is>
          <t>Salong Kristin Björk AB</t>
        </is>
      </c>
      <c r="C75" s="9" t="inlineStr">
        <is>
          <t>Vänersborg</t>
        </is>
      </c>
      <c r="D75" s="9" t="inlineStr">
        <is>
          <t>Sundsgatan 23 A</t>
        </is>
      </c>
      <c r="E75" s="10" t="inlineStr">
        <is>
          <t>Frisörsalong</t>
        </is>
      </c>
      <c r="F75" s="9" t="inlineStr">
        <is>
          <t>0521-100 ??</t>
        </is>
      </c>
      <c r="G75" s="7" t="inlineStr">
        <is>
          <t>Låg</t>
        </is>
      </c>
      <c r="H75" s="10" t="inlineStr">
        <is>
          <t>Gratis n.nu-sida (salongkristin.n.nu) – enkel mallsida, ingen egen domän</t>
        </is>
      </c>
      <c r="I75" s="9" t="inlineStr">
        <is>
          <t>salongkristin.n.nu</t>
        </is>
      </c>
      <c r="J75" s="7" t="inlineStr">
        <is>
          <t>B</t>
        </is>
      </c>
      <c r="K75" s="11" t="n"/>
      <c r="L75" s="11" t="n"/>
      <c r="M75" s="11" t="n"/>
      <c r="N75" s="12" t="n"/>
      <c r="O75" s="13" t="inlineStr">
        <is>
          <t>Gratis sidbyggare = tydligt utdaterad närvaro. Numret ofullständigt – verifiera.</t>
        </is>
      </c>
    </row>
    <row r="76" ht="30" customHeight="1">
      <c r="A76" s="7" t="n">
        <v>68</v>
      </c>
      <c r="B76" s="8" t="inlineStr">
        <is>
          <t>Wargöns Plåtslageri AB</t>
        </is>
      </c>
      <c r="C76" s="9" t="inlineStr">
        <is>
          <t>Vargön</t>
        </is>
      </c>
      <c r="D76" s="9" t="inlineStr">
        <is>
          <t>Stationsvägen 27</t>
        </is>
      </c>
      <c r="E76" s="10" t="inlineStr">
        <is>
          <t>Plåtslageri och plåtentreprenad</t>
        </is>
      </c>
      <c r="F76" s="9" t="inlineStr">
        <is>
          <t>072-525 21 55</t>
        </is>
      </c>
      <c r="G76" s="7" t="inlineStr">
        <is>
          <t>Hög</t>
        </is>
      </c>
      <c r="H76" s="10" t="inlineStr">
        <is>
          <t>Enkel webbplats utan TLS (http) – utdaterad</t>
        </is>
      </c>
      <c r="I76" s="9" t="inlineStr">
        <is>
          <t>wplat.se</t>
        </is>
      </c>
      <c r="J76" s="7" t="inlineStr">
        <is>
          <t>B</t>
        </is>
      </c>
      <c r="K76" s="11" t="n"/>
      <c r="L76" s="11" t="n"/>
      <c r="M76" s="11" t="n"/>
      <c r="N76" s="12" t="n"/>
      <c r="O76" s="13" t="inlineStr">
        <is>
          <t>http-sajt utan kryptering är ett tydligt tecken på eftersatt underhåll.</t>
        </is>
      </c>
    </row>
    <row r="77" ht="30" customHeight="1">
      <c r="A77" s="7" t="n">
        <v>69</v>
      </c>
      <c r="B77" s="8" t="inlineStr">
        <is>
          <t>Blüchers Entreprenad AB</t>
        </is>
      </c>
      <c r="C77" s="9" t="inlineStr">
        <is>
          <t>Trollhättan</t>
        </is>
      </c>
      <c r="D77" s="9" t="inlineStr">
        <is>
          <t>Verkmästarevägen 17</t>
        </is>
      </c>
      <c r="E77" s="10" t="inlineStr">
        <is>
          <t>Markentreprenad</t>
        </is>
      </c>
      <c r="F77" s="9" t="inlineStr">
        <is>
          <t>0520-366 ??</t>
        </is>
      </c>
      <c r="G77" s="7" t="inlineStr">
        <is>
          <t>Låg</t>
        </is>
      </c>
      <c r="H77" s="10" t="inlineStr">
        <is>
          <t>Ej bekräftad</t>
        </is>
      </c>
      <c r="I77" s="9" t="inlineStr"/>
      <c r="J77" s="7" t="inlineStr">
        <is>
          <t>B</t>
        </is>
      </c>
      <c r="K77" s="11" t="n"/>
      <c r="L77" s="11" t="n"/>
      <c r="M77" s="11" t="n"/>
      <c r="N77" s="12" t="n"/>
      <c r="O77" s="13" t="inlineStr">
        <is>
          <t>Numret ofullständigt i källan – verifiera.</t>
        </is>
      </c>
    </row>
    <row r="78" ht="30" customHeight="1">
      <c r="A78" s="7" t="n">
        <v>70</v>
      </c>
      <c r="B78" s="8" t="inlineStr">
        <is>
          <t>Entreprenada Väst AB</t>
        </is>
      </c>
      <c r="C78" s="9" t="inlineStr">
        <is>
          <t>Trollhättan</t>
        </is>
      </c>
      <c r="D78" s="9" t="inlineStr">
        <is>
          <t>Larmvägen 7</t>
        </is>
      </c>
      <c r="E78" s="10" t="inlineStr">
        <is>
          <t>Markentreprenad</t>
        </is>
      </c>
      <c r="F78" s="9" t="inlineStr">
        <is>
          <t>0520-49 80 ??</t>
        </is>
      </c>
      <c r="G78" s="7" t="inlineStr">
        <is>
          <t>Låg</t>
        </is>
      </c>
      <c r="H78" s="10" t="inlineStr">
        <is>
          <t>Ej bekräftad</t>
        </is>
      </c>
      <c r="I78" s="9" t="inlineStr"/>
      <c r="J78" s="7" t="inlineStr">
        <is>
          <t>B</t>
        </is>
      </c>
      <c r="K78" s="11" t="n"/>
      <c r="L78" s="11" t="n"/>
      <c r="M78" s="11" t="n"/>
      <c r="N78" s="12" t="n"/>
      <c r="O78" s="13" t="inlineStr">
        <is>
          <t>Numret ofullständigt i källan – verifiera.</t>
        </is>
      </c>
    </row>
    <row r="79" ht="30" customHeight="1">
      <c r="A79" s="7" t="n">
        <v>71</v>
      </c>
      <c r="B79" s="8" t="inlineStr">
        <is>
          <t>Trestads Gräv- och Traktorcentral</t>
        </is>
      </c>
      <c r="C79" s="9" t="inlineStr">
        <is>
          <t>Trollhättan</t>
        </is>
      </c>
      <c r="D79" s="9" t="inlineStr">
        <is>
          <t>Batterivägen 7</t>
        </is>
      </c>
      <c r="E79" s="10" t="inlineStr">
        <is>
          <t>Gräv- och traktorarbeten</t>
        </is>
      </c>
      <c r="F79" s="9" t="inlineStr">
        <is>
          <t>0520-47 47 ??</t>
        </is>
      </c>
      <c r="G79" s="7" t="inlineStr">
        <is>
          <t>Låg</t>
        </is>
      </c>
      <c r="H79" s="10" t="inlineStr">
        <is>
          <t>Ej bekräftad</t>
        </is>
      </c>
      <c r="I79" s="9" t="inlineStr"/>
      <c r="J79" s="7" t="inlineStr">
        <is>
          <t>B</t>
        </is>
      </c>
      <c r="K79" s="11" t="n"/>
      <c r="L79" s="11" t="n"/>
      <c r="M79" s="11" t="n"/>
      <c r="N79" s="12" t="n"/>
      <c r="O79" s="13" t="inlineStr">
        <is>
          <t>Numret ofullständigt i källan – verifiera.</t>
        </is>
      </c>
    </row>
    <row r="80" ht="30" customHeight="1">
      <c r="A80" s="7" t="n">
        <v>72</v>
      </c>
      <c r="B80" s="8" t="inlineStr">
        <is>
          <t>Björserud Loppis &amp; Secondhand</t>
        </is>
      </c>
      <c r="C80" s="9" t="inlineStr">
        <is>
          <t>Brålanda</t>
        </is>
      </c>
      <c r="D80" s="9" t="inlineStr">
        <is>
          <t>Björserud</t>
        </is>
      </c>
      <c r="E80" s="10" t="inlineStr">
        <is>
          <t>Loppis och secondhand, dödsbotömning, värdering och hämtning</t>
        </is>
      </c>
      <c r="F80" s="9" t="inlineStr">
        <is>
          <t>0521-101 71</t>
        </is>
      </c>
      <c r="G80" s="7" t="inlineStr">
        <is>
          <t>Hög</t>
        </is>
      </c>
      <c r="H80" s="10" t="inlineStr">
        <is>
          <t>Har egen webbplats</t>
        </is>
      </c>
      <c r="I80" s="9" t="inlineStr">
        <is>
          <t>bjorserud.se</t>
        </is>
      </c>
      <c r="J80" s="7" t="inlineStr">
        <is>
          <t>C</t>
        </is>
      </c>
      <c r="K80" s="11" t="n"/>
      <c r="L80" s="11" t="n"/>
      <c r="M80" s="11" t="n"/>
      <c r="N80" s="12" t="n"/>
      <c r="O80" s="13" t="inlineStr">
        <is>
          <t>Öppet fre-sön 10-14.</t>
        </is>
      </c>
    </row>
    <row r="81" ht="30" customHeight="1">
      <c r="A81" s="7" t="n">
        <v>73</v>
      </c>
      <c r="B81" s="8" t="inlineStr">
        <is>
          <t>Brålanda Industri AB</t>
        </is>
      </c>
      <c r="C81" s="9" t="inlineStr">
        <is>
          <t>Brålanda</t>
        </is>
      </c>
      <c r="D81" s="9" t="inlineStr">
        <is>
          <t>Stenhammarsvägen 16</t>
        </is>
      </c>
      <c r="E81" s="10" t="inlineStr">
        <is>
          <t>Mekanisk verkstad – plåt och stål, legoarbeten, byggkonstruktioner. Ca 45 anställda</t>
        </is>
      </c>
      <c r="F81" s="9" t="inlineStr">
        <is>
          <t>0521-303 51</t>
        </is>
      </c>
      <c r="G81" s="7" t="inlineStr">
        <is>
          <t>Hög</t>
        </is>
      </c>
      <c r="H81" s="10" t="inlineStr">
        <is>
          <t>Har egen webbplats</t>
        </is>
      </c>
      <c r="I81" s="9" t="inlineStr">
        <is>
          <t>bralandaindustri.se</t>
        </is>
      </c>
      <c r="J81" s="7" t="inlineStr">
        <is>
          <t>C</t>
        </is>
      </c>
      <c r="K81" s="11" t="n"/>
      <c r="L81" s="11" t="n"/>
      <c r="M81" s="11" t="n"/>
      <c r="N81" s="12" t="n"/>
      <c r="O81" s="13" t="inlineStr"/>
    </row>
    <row r="82" ht="30" customHeight="1">
      <c r="A82" s="7" t="n">
        <v>74</v>
      </c>
      <c r="B82" s="8" t="inlineStr">
        <is>
          <t>Brålanda Snickerifabrik AB</t>
        </is>
      </c>
      <c r="C82" s="9" t="inlineStr">
        <is>
          <t>Brålanda</t>
        </is>
      </c>
      <c r="D82" s="9" t="inlineStr">
        <is>
          <t>Allégatan 3</t>
        </is>
      </c>
      <c r="E82" s="10" t="inlineStr">
        <is>
          <t>Handtillverkade fönster och dörrar i klassisk stil, sammansatt parkett</t>
        </is>
      </c>
      <c r="F82" s="9" t="inlineStr">
        <is>
          <t>0521-300 41</t>
        </is>
      </c>
      <c r="G82" s="7" t="inlineStr">
        <is>
          <t>Hög</t>
        </is>
      </c>
      <c r="H82" s="10" t="inlineStr">
        <is>
          <t>Har egen webbplats</t>
        </is>
      </c>
      <c r="I82" s="9" t="inlineStr">
        <is>
          <t>bralandasnickerifabrik.se</t>
        </is>
      </c>
      <c r="J82" s="7" t="inlineStr">
        <is>
          <t>C</t>
        </is>
      </c>
      <c r="K82" s="11" t="n"/>
      <c r="L82" s="11" t="n"/>
      <c r="M82" s="11" t="n"/>
      <c r="N82" s="12" t="n"/>
      <c r="O82" s="13" t="inlineStr"/>
    </row>
    <row r="83" ht="30" customHeight="1">
      <c r="A83" s="7" t="n">
        <v>75</v>
      </c>
      <c r="B83" s="8" t="inlineStr">
        <is>
          <t>Evenstorps Gård</t>
        </is>
      </c>
      <c r="C83" s="9" t="inlineStr">
        <is>
          <t>Brålanda</t>
        </is>
      </c>
      <c r="D83" s="9" t="inlineStr">
        <is>
          <t>Ca 1 mil väster om Brålanda</t>
        </is>
      </c>
      <c r="E83" s="10" t="inlineStr">
        <is>
          <t>Hallonodling, KRAV-certifierat kött, kafé och gårdsbutik</t>
        </is>
      </c>
      <c r="F83" s="9" t="inlineStr"/>
      <c r="G83" s="7" t="inlineStr">
        <is>
          <t>Saknas</t>
        </is>
      </c>
      <c r="H83" s="10" t="inlineStr">
        <is>
          <t>Har egen webbplats</t>
        </is>
      </c>
      <c r="I83" s="9" t="inlineStr">
        <is>
          <t>evenstorpsgard.se</t>
        </is>
      </c>
      <c r="J83" s="7" t="inlineStr">
        <is>
          <t>C</t>
        </is>
      </c>
      <c r="K83" s="11" t="n"/>
      <c r="L83" s="11" t="n"/>
      <c r="M83" s="11" t="n"/>
      <c r="N83" s="12" t="n"/>
      <c r="O83" s="13" t="inlineStr"/>
    </row>
    <row r="84" ht="30" customHeight="1">
      <c r="A84" s="7" t="n">
        <v>76</v>
      </c>
      <c r="B84" s="8" t="inlineStr">
        <is>
          <t>Fröken Anderssons Blomsterhandel</t>
        </is>
      </c>
      <c r="C84" s="9" t="inlineStr">
        <is>
          <t>Brålanda</t>
        </is>
      </c>
      <c r="D84" s="9" t="inlineStr">
        <is>
          <t>Brålanda</t>
        </is>
      </c>
      <c r="E84" s="10" t="inlineStr">
        <is>
          <t>Blomsterhandel/florist, Interflora. Levererar till Brålanda, Frändefors och Mellerud</t>
        </is>
      </c>
      <c r="F84" s="9" t="inlineStr"/>
      <c r="G84" s="7" t="inlineStr">
        <is>
          <t>Saknas</t>
        </is>
      </c>
      <c r="H84" s="10" t="inlineStr">
        <is>
          <t>Har egen webbplats</t>
        </is>
      </c>
      <c r="I84" s="9" t="inlineStr">
        <is>
          <t>frokenanderssons.com</t>
        </is>
      </c>
      <c r="J84" s="7" t="inlineStr">
        <is>
          <t>C</t>
        </is>
      </c>
      <c r="K84" s="11" t="n"/>
      <c r="L84" s="11" t="n"/>
      <c r="M84" s="11" t="n"/>
      <c r="N84" s="12" t="n"/>
      <c r="O84" s="13" t="inlineStr"/>
    </row>
    <row r="85" ht="30" customHeight="1">
      <c r="A85" s="7" t="n">
        <v>77</v>
      </c>
      <c r="B85" s="8" t="inlineStr">
        <is>
          <t>Håkans Entreprenad AB</t>
        </is>
      </c>
      <c r="C85" s="9" t="inlineStr">
        <is>
          <t>Brålanda</t>
        </is>
      </c>
      <c r="D85" s="9" t="inlineStr">
        <is>
          <t>Poppelgatan 8 / Stenhammarsvägen</t>
        </is>
      </c>
      <c r="E85" s="10" t="inlineStr">
        <is>
          <t>Mark- och anläggningsentreprenad, marksanering. Aktivt sedan 2001</t>
        </is>
      </c>
      <c r="F85" s="9" t="inlineStr">
        <is>
          <t>0521-312 25</t>
        </is>
      </c>
      <c r="G85" s="7" t="inlineStr">
        <is>
          <t>Hög</t>
        </is>
      </c>
      <c r="H85" s="10" t="inlineStr">
        <is>
          <t>Har egen webbplats</t>
        </is>
      </c>
      <c r="I85" s="9" t="inlineStr">
        <is>
          <t>hentrab.se</t>
        </is>
      </c>
      <c r="J85" s="7" t="inlineStr">
        <is>
          <t>C</t>
        </is>
      </c>
      <c r="K85" s="11" t="n"/>
      <c r="L85" s="11" t="n"/>
      <c r="M85" s="11" t="n"/>
      <c r="N85" s="12" t="n"/>
      <c r="O85" s="13" t="inlineStr"/>
    </row>
    <row r="86" ht="30" customHeight="1">
      <c r="A86" s="7" t="n">
        <v>78</v>
      </c>
      <c r="B86" s="8" t="inlineStr">
        <is>
          <t>Lifvskällan~för Dig~ (Nina ÅkesDotter)</t>
        </is>
      </c>
      <c r="C86" s="9" t="inlineStr">
        <is>
          <t>Brålanda</t>
        </is>
      </c>
      <c r="D86" s="9" t="inlineStr">
        <is>
          <t>Högagatan 6 / Nuntorp 305</t>
        </is>
      </c>
      <c r="E86" s="10" t="inlineStr">
        <is>
          <t>Massage, fotmassage, aromamassage, medicinsk laser, NADA-öronakupunktur, akupressur</t>
        </is>
      </c>
      <c r="F86" s="9" t="inlineStr"/>
      <c r="G86" s="7" t="inlineStr">
        <is>
          <t>Saknas</t>
        </is>
      </c>
      <c r="H86" s="10" t="inlineStr">
        <is>
          <t>Har egen webbplats</t>
        </is>
      </c>
      <c r="I86" s="9" t="inlineStr">
        <is>
          <t>lifvskallanfordig.se</t>
        </is>
      </c>
      <c r="J86" s="7" t="inlineStr">
        <is>
          <t>C</t>
        </is>
      </c>
      <c r="K86" s="11" t="n"/>
      <c r="L86" s="11" t="n"/>
      <c r="M86" s="11" t="n"/>
      <c r="N86" s="12" t="n"/>
      <c r="O86" s="13" t="inlineStr">
        <is>
          <t>Bokning via Bokadirekt. Telefonnummer ej publikt i sök.</t>
        </is>
      </c>
    </row>
    <row r="87" ht="30" customHeight="1">
      <c r="A87" s="7" t="n">
        <v>79</v>
      </c>
      <c r="B87" s="8" t="inlineStr">
        <is>
          <t>Linblomman Maskin</t>
        </is>
      </c>
      <c r="C87" s="9" t="inlineStr">
        <is>
          <t>Brålanda</t>
        </is>
      </c>
      <c r="D87" s="9" t="inlineStr">
        <is>
          <t>Brålanda</t>
        </is>
      </c>
      <c r="E87" s="10" t="inlineStr">
        <is>
          <t>Försäljning och service av lantbruks- och skogsmaskiner, redskap och vagnar</t>
        </is>
      </c>
      <c r="F87" s="9" t="inlineStr"/>
      <c r="G87" s="7" t="inlineStr">
        <is>
          <t>Saknas</t>
        </is>
      </c>
      <c r="H87" s="10" t="inlineStr">
        <is>
          <t>Har egen webbplats</t>
        </is>
      </c>
      <c r="I87" s="9" t="inlineStr">
        <is>
          <t>linblommanmaskin.se</t>
        </is>
      </c>
      <c r="J87" s="7" t="inlineStr">
        <is>
          <t>C</t>
        </is>
      </c>
      <c r="K87" s="11" t="n"/>
      <c r="L87" s="11" t="n"/>
      <c r="M87" s="11" t="n"/>
      <c r="N87" s="12" t="n"/>
      <c r="O87" s="13" t="inlineStr"/>
    </row>
    <row r="88" ht="30" customHeight="1">
      <c r="A88" s="7" t="n">
        <v>80</v>
      </c>
      <c r="B88" s="8" t="inlineStr">
        <is>
          <t>Salong Lokalklippet</t>
        </is>
      </c>
      <c r="C88" s="9" t="inlineStr">
        <is>
          <t>Brålanda</t>
        </is>
      </c>
      <c r="D88" s="9" t="inlineStr">
        <is>
          <t>Brålanda</t>
        </is>
      </c>
      <c r="E88" s="10" t="inlineStr">
        <is>
          <t>Frisörsalong (Lena Pettersson, sedan tidigt 90-tal)</t>
        </is>
      </c>
      <c r="F88" s="9" t="inlineStr"/>
      <c r="G88" s="7" t="inlineStr">
        <is>
          <t>Saknas</t>
        </is>
      </c>
      <c r="H88" s="10" t="inlineStr">
        <is>
          <t>Har egen webbplats</t>
        </is>
      </c>
      <c r="I88" s="9" t="inlineStr">
        <is>
          <t>salonglokalklippet.se</t>
        </is>
      </c>
      <c r="J88" s="7" t="inlineStr">
        <is>
          <t>C</t>
        </is>
      </c>
      <c r="K88" s="11" t="n"/>
      <c r="L88" s="11" t="n"/>
      <c r="M88" s="11" t="n"/>
      <c r="N88" s="12" t="n"/>
      <c r="O88" s="13" t="inlineStr"/>
    </row>
    <row r="89" ht="30" customHeight="1">
      <c r="A89" s="7" t="n">
        <v>81</v>
      </c>
      <c r="B89" s="8" t="inlineStr">
        <is>
          <t>Sikhalls Camping &amp; Restaurang</t>
        </is>
      </c>
      <c r="C89" s="9" t="inlineStr">
        <is>
          <t>Brålanda</t>
        </is>
      </c>
      <c r="D89" s="9" t="inlineStr">
        <is>
          <t>Sikhall, vid Vänern</t>
        </is>
      </c>
      <c r="E89" s="10" t="inlineStr">
        <is>
          <t>Camping med 10 stugor och 20 platser samt restaurang</t>
        </is>
      </c>
      <c r="F89" s="9" t="inlineStr">
        <is>
          <t>073-097 61 00</t>
        </is>
      </c>
      <c r="G89" s="7" t="inlineStr">
        <is>
          <t>Hög</t>
        </is>
      </c>
      <c r="H89" s="10" t="inlineStr">
        <is>
          <t>Har egen webbplats</t>
        </is>
      </c>
      <c r="I89" s="9" t="inlineStr">
        <is>
          <t>sikhallscamping.se</t>
        </is>
      </c>
      <c r="J89" s="7" t="inlineStr">
        <is>
          <t>C</t>
        </is>
      </c>
      <c r="K89" s="11" t="n"/>
      <c r="L89" s="11" t="n"/>
      <c r="M89" s="11" t="n"/>
      <c r="N89" s="12" t="n"/>
      <c r="O89" s="13" t="inlineStr">
        <is>
          <t>Sajten har gammal .html-struktur – kan vara värd en titt.</t>
        </is>
      </c>
    </row>
    <row r="90" ht="30" customHeight="1">
      <c r="A90" s="7" t="n">
        <v>82</v>
      </c>
      <c r="B90" s="8" t="inlineStr">
        <is>
          <t>Sundals Måleri</t>
        </is>
      </c>
      <c r="C90" s="9" t="inlineStr">
        <is>
          <t>Brålanda</t>
        </is>
      </c>
      <c r="D90" s="9" t="inlineStr">
        <is>
          <t>Brålanda</t>
        </is>
      </c>
      <c r="E90" s="10" t="inlineStr">
        <is>
          <t>Måleri i Brålanda, Vänersborg och Trollhättan</t>
        </is>
      </c>
      <c r="F90" s="9" t="inlineStr"/>
      <c r="G90" s="7" t="inlineStr">
        <is>
          <t>Saknas</t>
        </is>
      </c>
      <c r="H90" s="10" t="inlineStr">
        <is>
          <t>Har egen webbplats</t>
        </is>
      </c>
      <c r="I90" s="9" t="inlineStr">
        <is>
          <t>sundalsmaleri.se</t>
        </is>
      </c>
      <c r="J90" s="7" t="inlineStr">
        <is>
          <t>C</t>
        </is>
      </c>
      <c r="K90" s="11" t="n"/>
      <c r="L90" s="11" t="n"/>
      <c r="M90" s="11" t="n"/>
      <c r="N90" s="12" t="n"/>
      <c r="O90" s="13" t="inlineStr"/>
    </row>
    <row r="91" ht="30" customHeight="1">
      <c r="A91" s="7" t="n">
        <v>83</v>
      </c>
      <c r="B91" s="8" t="inlineStr">
        <is>
          <t>Wallins Brålanda Buss &amp; Taxi AB</t>
        </is>
      </c>
      <c r="C91" s="9" t="inlineStr">
        <is>
          <t>Brålanda</t>
        </is>
      </c>
      <c r="D91" s="9" t="inlineStr">
        <is>
          <t>Rapsvägen 14</t>
        </is>
      </c>
      <c r="E91" s="10" t="inlineStr">
        <is>
          <t>Buss, taxi och skoltaxi, bussresor i Dalsland</t>
        </is>
      </c>
      <c r="F91" s="9" t="inlineStr">
        <is>
          <t>0521-308 70</t>
        </is>
      </c>
      <c r="G91" s="7" t="inlineStr">
        <is>
          <t>Medel</t>
        </is>
      </c>
      <c r="H91" s="10" t="inlineStr">
        <is>
          <t>Har egen webbplats</t>
        </is>
      </c>
      <c r="I91" s="9" t="inlineStr">
        <is>
          <t>wallinsbuss.se</t>
        </is>
      </c>
      <c r="J91" s="7" t="inlineStr">
        <is>
          <t>C</t>
        </is>
      </c>
      <c r="K91" s="11" t="n"/>
      <c r="L91" s="11" t="n"/>
      <c r="M91" s="11" t="n"/>
      <c r="N91" s="12" t="n"/>
      <c r="O91" s="13" t="inlineStr"/>
    </row>
    <row r="92" ht="30" customHeight="1">
      <c r="A92" s="7" t="n">
        <v>84</v>
      </c>
      <c r="B92" s="8" t="inlineStr">
        <is>
          <t>Forsane Värme och Vattenservice AB</t>
        </is>
      </c>
      <c r="C92" s="9" t="inlineStr">
        <is>
          <t>Frändefors</t>
        </is>
      </c>
      <c r="D92" s="9" t="inlineStr">
        <is>
          <t>Forsane</t>
        </is>
      </c>
      <c r="E92" s="10" t="inlineStr">
        <is>
          <t>Energiborrning och värmepumpar</t>
        </is>
      </c>
      <c r="F92" s="9" t="inlineStr"/>
      <c r="G92" s="7" t="inlineStr">
        <is>
          <t>Saknas</t>
        </is>
      </c>
      <c r="H92" s="10" t="inlineStr">
        <is>
          <t>Har egen webbplats</t>
        </is>
      </c>
      <c r="I92" s="9" t="inlineStr">
        <is>
          <t>forsane.se</t>
        </is>
      </c>
      <c r="J92" s="7" t="inlineStr">
        <is>
          <t>C</t>
        </is>
      </c>
      <c r="K92" s="11" t="n"/>
      <c r="L92" s="11" t="n"/>
      <c r="M92" s="11" t="n"/>
      <c r="N92" s="12" t="n"/>
      <c r="O92" s="13" t="inlineStr"/>
    </row>
    <row r="93" ht="30" customHeight="1">
      <c r="A93" s="7" t="n">
        <v>85</v>
      </c>
      <c r="B93" s="8" t="inlineStr">
        <is>
          <t>Frändefors Entreprenad</t>
        </is>
      </c>
      <c r="C93" s="9" t="inlineStr">
        <is>
          <t>Frändefors</t>
        </is>
      </c>
      <c r="D93" s="9" t="inlineStr">
        <is>
          <t>Frändefors</t>
        </is>
      </c>
      <c r="E93" s="10" t="inlineStr">
        <is>
          <t>Entreprenad</t>
        </is>
      </c>
      <c r="F93" s="9" t="inlineStr"/>
      <c r="G93" s="7" t="inlineStr">
        <is>
          <t>Saknas</t>
        </is>
      </c>
      <c r="H93" s="10" t="inlineStr">
        <is>
          <t>Har egen webbplats</t>
        </is>
      </c>
      <c r="I93" s="9" t="inlineStr">
        <is>
          <t>frandeforsentreprenad.se</t>
        </is>
      </c>
      <c r="J93" s="7" t="inlineStr">
        <is>
          <t>C</t>
        </is>
      </c>
      <c r="K93" s="11" t="n"/>
      <c r="L93" s="11" t="n"/>
      <c r="M93" s="11" t="n"/>
      <c r="N93" s="12" t="n"/>
      <c r="O93" s="13" t="inlineStr"/>
    </row>
    <row r="94" ht="30" customHeight="1">
      <c r="A94" s="7" t="n">
        <v>86</v>
      </c>
      <c r="B94" s="8" t="inlineStr">
        <is>
          <t>Frändefors Golv</t>
        </is>
      </c>
      <c r="C94" s="9" t="inlineStr">
        <is>
          <t>Frändefors</t>
        </is>
      </c>
      <c r="D94" s="9" t="inlineStr">
        <is>
          <t>Frändefors</t>
        </is>
      </c>
      <c r="E94" s="10" t="inlineStr">
        <is>
          <t>Golvläggning</t>
        </is>
      </c>
      <c r="F94" s="9" t="inlineStr"/>
      <c r="G94" s="7" t="inlineStr">
        <is>
          <t>Saknas</t>
        </is>
      </c>
      <c r="H94" s="10" t="inlineStr">
        <is>
          <t>Har egen webbplats</t>
        </is>
      </c>
      <c r="I94" s="9" t="inlineStr">
        <is>
          <t>frandeforsgolv.se</t>
        </is>
      </c>
      <c r="J94" s="7" t="inlineStr">
        <is>
          <t>C</t>
        </is>
      </c>
      <c r="K94" s="11" t="n"/>
      <c r="L94" s="11" t="n"/>
      <c r="M94" s="11" t="n"/>
      <c r="N94" s="12" t="n"/>
      <c r="O94" s="13" t="inlineStr"/>
    </row>
    <row r="95" ht="30" customHeight="1">
      <c r="A95" s="7" t="n">
        <v>87</v>
      </c>
      <c r="B95" s="8" t="inlineStr">
        <is>
          <t>Frändefors Trä</t>
        </is>
      </c>
      <c r="C95" s="9" t="inlineStr">
        <is>
          <t>Frändefors</t>
        </is>
      </c>
      <c r="D95" s="9" t="inlineStr">
        <is>
          <t>Frändefors</t>
        </is>
      </c>
      <c r="E95" s="10" t="inlineStr">
        <is>
          <t>Byggvaror, byggvirke och färghandel</t>
        </is>
      </c>
      <c r="F95" s="9" t="inlineStr"/>
      <c r="G95" s="7" t="inlineStr">
        <is>
          <t>Saknas</t>
        </is>
      </c>
      <c r="H95" s="10" t="inlineStr">
        <is>
          <t>Har egen webbplats</t>
        </is>
      </c>
      <c r="I95" s="9" t="inlineStr">
        <is>
          <t>frandeforstra.se</t>
        </is>
      </c>
      <c r="J95" s="7" t="inlineStr">
        <is>
          <t>C</t>
        </is>
      </c>
      <c r="K95" s="11" t="n"/>
      <c r="L95" s="11" t="n"/>
      <c r="M95" s="11" t="n"/>
      <c r="N95" s="12" t="n"/>
      <c r="O95" s="13" t="inlineStr"/>
    </row>
    <row r="96" ht="30" customHeight="1">
      <c r="A96" s="7" t="n">
        <v>88</v>
      </c>
      <c r="B96" s="8" t="inlineStr">
        <is>
          <t>AutoMats AB</t>
        </is>
      </c>
      <c r="C96" s="9" t="inlineStr">
        <is>
          <t>Mellerud</t>
        </is>
      </c>
      <c r="D96" s="9" t="inlineStr">
        <is>
          <t>Landsvägsgatan 80</t>
        </is>
      </c>
      <c r="E96" s="10" t="inlineStr">
        <is>
          <t>Bilverkstad och reservdelsbutik</t>
        </is>
      </c>
      <c r="F96" s="9" t="inlineStr">
        <is>
          <t>0530-471 50</t>
        </is>
      </c>
      <c r="G96" s="7" t="inlineStr">
        <is>
          <t>Hög</t>
        </is>
      </c>
      <c r="H96" s="10" t="inlineStr">
        <is>
          <t>Har egen webbplats</t>
        </is>
      </c>
      <c r="I96" s="9" t="inlineStr">
        <is>
          <t>automats.se</t>
        </is>
      </c>
      <c r="J96" s="7" t="inlineStr">
        <is>
          <t>C</t>
        </is>
      </c>
      <c r="K96" s="11" t="n"/>
      <c r="L96" s="11" t="n"/>
      <c r="M96" s="11" t="n"/>
      <c r="N96" s="12" t="n"/>
      <c r="O96" s="13" t="inlineStr"/>
    </row>
    <row r="97" ht="30" customHeight="1">
      <c r="A97" s="7" t="n">
        <v>89</v>
      </c>
      <c r="B97" s="8" t="inlineStr">
        <is>
          <t>Bertil Johansson Bygg AB</t>
        </is>
      </c>
      <c r="C97" s="9" t="inlineStr">
        <is>
          <t>Mellerud</t>
        </is>
      </c>
      <c r="D97" s="9" t="inlineStr">
        <is>
          <t>Mellerud</t>
        </is>
      </c>
      <c r="E97" s="10" t="inlineStr">
        <is>
          <t>Nybyggnation, tillbyggnad, ROT och byggservice</t>
        </is>
      </c>
      <c r="F97" s="9" t="inlineStr"/>
      <c r="G97" s="7" t="inlineStr">
        <is>
          <t>Saknas</t>
        </is>
      </c>
      <c r="H97" s="10" t="inlineStr">
        <is>
          <t>Har egen webbplats</t>
        </is>
      </c>
      <c r="I97" s="9" t="inlineStr">
        <is>
          <t>bjb-mellerud.se</t>
        </is>
      </c>
      <c r="J97" s="7" t="inlineStr">
        <is>
          <t>C</t>
        </is>
      </c>
      <c r="K97" s="11" t="n"/>
      <c r="L97" s="11" t="n"/>
      <c r="M97" s="11" t="n"/>
      <c r="N97" s="12" t="n"/>
      <c r="O97" s="13" t="inlineStr"/>
    </row>
    <row r="98" ht="30" customHeight="1">
      <c r="A98" s="7" t="n">
        <v>90</v>
      </c>
      <c r="B98" s="8" t="inlineStr">
        <is>
          <t>Dalslands VVS AB</t>
        </is>
      </c>
      <c r="C98" s="9" t="inlineStr">
        <is>
          <t>Mellerud</t>
        </is>
      </c>
      <c r="D98" s="9" t="inlineStr">
        <is>
          <t>Sjögatan 8</t>
        </is>
      </c>
      <c r="E98" s="10" t="inlineStr">
        <is>
          <t>VVS och rörinstallationer</t>
        </is>
      </c>
      <c r="F98" s="9" t="inlineStr">
        <is>
          <t>073-599 52 24</t>
        </is>
      </c>
      <c r="G98" s="7" t="inlineStr">
        <is>
          <t>Hög</t>
        </is>
      </c>
      <c r="H98" s="10" t="inlineStr">
        <is>
          <t>Har egen webbplats</t>
        </is>
      </c>
      <c r="I98" s="9" t="inlineStr">
        <is>
          <t>dalslandsvvs.se</t>
        </is>
      </c>
      <c r="J98" s="7" t="inlineStr">
        <is>
          <t>C</t>
        </is>
      </c>
      <c r="K98" s="11" t="n"/>
      <c r="L98" s="11" t="n"/>
      <c r="M98" s="11" t="n"/>
      <c r="N98" s="12" t="n"/>
      <c r="O98" s="13" t="inlineStr"/>
    </row>
    <row r="99" ht="30" customHeight="1">
      <c r="A99" s="7" t="n">
        <v>91</v>
      </c>
      <c r="B99" s="8" t="inlineStr">
        <is>
          <t>Din Snickare på Dal AB</t>
        </is>
      </c>
      <c r="C99" s="9" t="inlineStr">
        <is>
          <t>Mellerud</t>
        </is>
      </c>
      <c r="D99" s="9" t="inlineStr">
        <is>
          <t>Ör Frestersbyn 5</t>
        </is>
      </c>
      <c r="E99" s="10" t="inlineStr">
        <is>
          <t>Byggföretag och snickeri – husbyggnation, tak och byggservice</t>
        </is>
      </c>
      <c r="F99" s="9" t="inlineStr">
        <is>
          <t>070-604 23 46</t>
        </is>
      </c>
      <c r="G99" s="7" t="inlineStr">
        <is>
          <t>Hög</t>
        </is>
      </c>
      <c r="H99" s="10" t="inlineStr">
        <is>
          <t>Har egen webbplats</t>
        </is>
      </c>
      <c r="I99" s="9" t="inlineStr">
        <is>
          <t>dinsnickarepadal.se</t>
        </is>
      </c>
      <c r="J99" s="7" t="inlineStr">
        <is>
          <t>C</t>
        </is>
      </c>
      <c r="K99" s="11" t="n"/>
      <c r="L99" s="11" t="n"/>
      <c r="M99" s="11" t="n"/>
      <c r="N99" s="12" t="n"/>
      <c r="O99" s="13" t="inlineStr"/>
    </row>
    <row r="100" ht="30" customHeight="1">
      <c r="A100" s="7" t="n">
        <v>92</v>
      </c>
      <c r="B100" s="8" t="inlineStr">
        <is>
          <t>Gustavssons Bil</t>
        </is>
      </c>
      <c r="C100" s="9" t="inlineStr">
        <is>
          <t>Mellerud</t>
        </is>
      </c>
      <c r="D100" s="9" t="inlineStr">
        <is>
          <t>Byggmästargatan 16</t>
        </is>
      </c>
      <c r="E100" s="10" t="inlineStr">
        <is>
          <t>Bilverkstad – reparation och service</t>
        </is>
      </c>
      <c r="F100" s="9" t="inlineStr">
        <is>
          <t>070-748 81 11</t>
        </is>
      </c>
      <c r="G100" s="7" t="inlineStr">
        <is>
          <t>Hög</t>
        </is>
      </c>
      <c r="H100" s="10" t="inlineStr">
        <is>
          <t>Har egen webbplats</t>
        </is>
      </c>
      <c r="I100" s="9" t="inlineStr">
        <is>
          <t>gustavssonsbil.se</t>
        </is>
      </c>
      <c r="J100" s="7" t="inlineStr">
        <is>
          <t>C</t>
        </is>
      </c>
      <c r="K100" s="11" t="n"/>
      <c r="L100" s="11" t="n"/>
      <c r="M100" s="11" t="n"/>
      <c r="N100" s="12" t="n"/>
      <c r="O100" s="13" t="inlineStr"/>
    </row>
    <row r="101" ht="30" customHeight="1">
      <c r="A101" s="7" t="n">
        <v>93</v>
      </c>
      <c r="B101" s="8" t="inlineStr">
        <is>
          <t>JA Entreprenad AB</t>
        </is>
      </c>
      <c r="C101" s="9" t="inlineStr">
        <is>
          <t>Mellerud</t>
        </is>
      </c>
      <c r="D101" s="9" t="inlineStr">
        <is>
          <t>Landsvägsgatan 80</t>
        </is>
      </c>
      <c r="E101" s="10" t="inlineStr">
        <is>
          <t>Markarbeten, plattsättning, avloppsgrävning</t>
        </is>
      </c>
      <c r="F101" s="9" t="inlineStr"/>
      <c r="G101" s="7" t="inlineStr">
        <is>
          <t>Saknas</t>
        </is>
      </c>
      <c r="H101" s="10" t="inlineStr">
        <is>
          <t>Har egen webbplats</t>
        </is>
      </c>
      <c r="I101" s="9" t="inlineStr">
        <is>
          <t>jaentreprenad.se</t>
        </is>
      </c>
      <c r="J101" s="7" t="inlineStr">
        <is>
          <t>C</t>
        </is>
      </c>
      <c r="K101" s="11" t="n"/>
      <c r="L101" s="11" t="n"/>
      <c r="M101" s="11" t="n"/>
      <c r="N101" s="12" t="n"/>
      <c r="O101" s="13" t="inlineStr"/>
    </row>
    <row r="102" ht="30" customHeight="1">
      <c r="A102" s="7" t="n">
        <v>94</v>
      </c>
      <c r="B102" s="8" t="inlineStr">
        <is>
          <t>Kerstins Camping</t>
        </is>
      </c>
      <c r="C102" s="9" t="inlineStr">
        <is>
          <t>Mellerud</t>
        </is>
      </c>
      <c r="D102" s="9" t="inlineStr">
        <is>
          <t>Hålsungebyn 1</t>
        </is>
      </c>
      <c r="E102" s="10" t="inlineStr">
        <is>
          <t>Camping och stuguthyrning – 12 stugor, husvagns- och tältplatser</t>
        </is>
      </c>
      <c r="F102" s="9" t="inlineStr">
        <is>
          <t>0530-127 15</t>
        </is>
      </c>
      <c r="G102" s="7" t="inlineStr">
        <is>
          <t>Hög</t>
        </is>
      </c>
      <c r="H102" s="10" t="inlineStr">
        <is>
          <t>Har egen webbplats</t>
        </is>
      </c>
      <c r="I102" s="9" t="inlineStr">
        <is>
          <t>kerstinscamping.se</t>
        </is>
      </c>
      <c r="J102" s="7" t="inlineStr">
        <is>
          <t>C</t>
        </is>
      </c>
      <c r="K102" s="11" t="n"/>
      <c r="L102" s="11" t="n"/>
      <c r="M102" s="11" t="n"/>
      <c r="N102" s="12" t="n"/>
      <c r="O102" s="13" t="inlineStr">
        <is>
          <t>Reception stängd: 070-422 31 38 eller 070-640 92 19.</t>
        </is>
      </c>
    </row>
    <row r="103" ht="30" customHeight="1">
      <c r="A103" s="7" t="n">
        <v>95</v>
      </c>
      <c r="B103" s="8" t="inlineStr">
        <is>
          <t>Rörtjänst i Mellerud AB</t>
        </is>
      </c>
      <c r="C103" s="9" t="inlineStr">
        <is>
          <t>Mellerud</t>
        </is>
      </c>
      <c r="D103" s="9" t="inlineStr">
        <is>
          <t>Mellerud</t>
        </is>
      </c>
      <c r="E103" s="10" t="inlineStr">
        <is>
          <t>VVS – allt från service till nybyggnation. Grundat 1988</t>
        </is>
      </c>
      <c r="F103" s="9" t="inlineStr"/>
      <c r="G103" s="7" t="inlineStr">
        <is>
          <t>Saknas</t>
        </is>
      </c>
      <c r="H103" s="10" t="inlineStr">
        <is>
          <t>Har egen webbplats</t>
        </is>
      </c>
      <c r="I103" s="9" t="inlineStr">
        <is>
          <t>rortjanstmellerud.se</t>
        </is>
      </c>
      <c r="J103" s="7" t="inlineStr">
        <is>
          <t>C</t>
        </is>
      </c>
      <c r="K103" s="11" t="n"/>
      <c r="L103" s="11" t="n"/>
      <c r="M103" s="11" t="n"/>
      <c r="N103" s="12" t="n"/>
      <c r="O103" s="13" t="inlineStr"/>
    </row>
    <row r="104" ht="30" customHeight="1">
      <c r="A104" s="7" t="n">
        <v>96</v>
      </c>
      <c r="B104" s="8" t="inlineStr">
        <is>
          <t>Svenssons Rör i Mellerud</t>
        </is>
      </c>
      <c r="C104" s="9" t="inlineStr">
        <is>
          <t>Mellerud</t>
        </is>
      </c>
      <c r="D104" s="9" t="inlineStr">
        <is>
          <t>Mellerud</t>
        </is>
      </c>
      <c r="E104" s="10" t="inlineStr">
        <is>
          <t>VVS och rörmokeri – Mellerud, Brålanda med omnejd</t>
        </is>
      </c>
      <c r="F104" s="9" t="inlineStr"/>
      <c r="G104" s="7" t="inlineStr">
        <is>
          <t>Saknas</t>
        </is>
      </c>
      <c r="H104" s="10" t="inlineStr">
        <is>
          <t>Har egen webbplats</t>
        </is>
      </c>
      <c r="I104" s="9" t="inlineStr">
        <is>
          <t>svenssonsrormellerud.se</t>
        </is>
      </c>
      <c r="J104" s="7" t="inlineStr">
        <is>
          <t>C</t>
        </is>
      </c>
      <c r="K104" s="11" t="n"/>
      <c r="L104" s="11" t="n"/>
      <c r="M104" s="11" t="n"/>
      <c r="N104" s="12" t="n"/>
      <c r="O104" s="13" t="inlineStr"/>
    </row>
    <row r="105" ht="30" customHeight="1">
      <c r="A105" s="7" t="n">
        <v>97</v>
      </c>
      <c r="B105" s="8" t="inlineStr">
        <is>
          <t>West-Bike Motor &amp; Service i Mellerud AB</t>
        </is>
      </c>
      <c r="C105" s="9" t="inlineStr">
        <is>
          <t>Mellerud</t>
        </is>
      </c>
      <c r="D105" s="9" t="inlineStr">
        <is>
          <t>Landsvägsgatan 34</t>
        </is>
      </c>
      <c r="E105" s="10" t="inlineStr">
        <is>
          <t>Återförsäljare och verkstad – snöskoter, ATV/UTV (Suzuki, Kymco, Arctic Cat)</t>
        </is>
      </c>
      <c r="F105" s="9" t="inlineStr">
        <is>
          <t>0530-130 30</t>
        </is>
      </c>
      <c r="G105" s="7" t="inlineStr">
        <is>
          <t>Hög</t>
        </is>
      </c>
      <c r="H105" s="10" t="inlineStr">
        <is>
          <t>Har egen webbplats</t>
        </is>
      </c>
      <c r="I105" s="9" t="inlineStr">
        <is>
          <t>west-bike.se</t>
        </is>
      </c>
      <c r="J105" s="7" t="inlineStr">
        <is>
          <t>C</t>
        </is>
      </c>
      <c r="K105" s="11" t="n"/>
      <c r="L105" s="11" t="n"/>
      <c r="M105" s="11" t="n"/>
      <c r="N105" s="12" t="n"/>
      <c r="O105" s="13" t="inlineStr"/>
    </row>
    <row r="106" ht="30" customHeight="1">
      <c r="A106" s="7" t="n">
        <v>98</v>
      </c>
      <c r="B106" s="8" t="inlineStr">
        <is>
          <t>Camillas Städ &amp; Trädgård i Trestad AB</t>
        </is>
      </c>
      <c r="C106" s="9" t="inlineStr">
        <is>
          <t>Vänersborg</t>
        </is>
      </c>
      <c r="D106" s="9" t="inlineStr">
        <is>
          <t>Tegelbrännargatan 4</t>
        </is>
      </c>
      <c r="E106" s="10" t="inlineStr">
        <is>
          <t>Hemstäd, flyttstäd, fönsterputs, trädgårdsarbete och företagsstäd</t>
        </is>
      </c>
      <c r="F106" s="9" t="inlineStr">
        <is>
          <t>Osäkert</t>
        </is>
      </c>
      <c r="G106" s="7" t="inlineStr">
        <is>
          <t>Låg</t>
        </is>
      </c>
      <c r="H106" s="10" t="inlineStr">
        <is>
          <t>Har egen webbplats</t>
        </is>
      </c>
      <c r="I106" s="9" t="inlineStr">
        <is>
          <t>camillastadtradgard.se</t>
        </is>
      </c>
      <c r="J106" s="7" t="inlineStr">
        <is>
          <t>C</t>
        </is>
      </c>
      <c r="K106" s="11" t="n"/>
      <c r="L106" s="11" t="n"/>
      <c r="M106" s="11" t="n"/>
      <c r="N106" s="12" t="n"/>
      <c r="O106" s="13" t="inlineStr">
        <is>
          <t>Numret ofullständigt i källan. Över 17 år i branschen.</t>
        </is>
      </c>
    </row>
    <row r="107" ht="30" customHeight="1">
      <c r="A107" s="7" t="n">
        <v>99</v>
      </c>
      <c r="B107" s="8" t="inlineStr">
        <is>
          <t>Gupex AB</t>
        </is>
      </c>
      <c r="C107" s="9" t="inlineStr">
        <is>
          <t>Vänersborg</t>
        </is>
      </c>
      <c r="D107" s="9" t="inlineStr">
        <is>
          <t>Östra Vägen 1</t>
        </is>
      </c>
      <c r="E107" s="10" t="inlineStr">
        <is>
          <t>Industriella värmeväxlare</t>
        </is>
      </c>
      <c r="F107" s="9" t="inlineStr">
        <is>
          <t>070-621 26 ??</t>
        </is>
      </c>
      <c r="G107" s="7" t="inlineStr">
        <is>
          <t>Låg</t>
        </is>
      </c>
      <c r="H107" s="10" t="inlineStr">
        <is>
          <t>Har egen webbplats</t>
        </is>
      </c>
      <c r="I107" s="9" t="inlineStr">
        <is>
          <t>gupex.se</t>
        </is>
      </c>
      <c r="J107" s="7" t="inlineStr">
        <is>
          <t>C</t>
        </is>
      </c>
      <c r="K107" s="11" t="n"/>
      <c r="L107" s="11" t="n"/>
      <c r="M107" s="11" t="n"/>
      <c r="N107" s="12" t="n"/>
      <c r="O107" s="13" t="inlineStr">
        <is>
          <t>Numret ofullständigt i källan.</t>
        </is>
      </c>
    </row>
    <row r="108" ht="30" customHeight="1">
      <c r="A108" s="7" t="n">
        <v>100</v>
      </c>
      <c r="B108" s="8" t="inlineStr">
        <is>
          <t>Ljungströmers Glasmästeri AB</t>
        </is>
      </c>
      <c r="C108" s="9" t="inlineStr">
        <is>
          <t>Vänersborg</t>
        </is>
      </c>
      <c r="D108" s="9" t="inlineStr">
        <is>
          <t>Regementsgatan 34A</t>
        </is>
      </c>
      <c r="E108" s="10" t="inlineStr">
        <is>
          <t>Glasmästeri</t>
        </is>
      </c>
      <c r="F108" s="9" t="inlineStr">
        <is>
          <t>0521-107 97</t>
        </is>
      </c>
      <c r="G108" s="7" t="inlineStr">
        <is>
          <t>Medel</t>
        </is>
      </c>
      <c r="H108" s="10" t="inlineStr">
        <is>
          <t>Har egen webbplats</t>
        </is>
      </c>
      <c r="I108" s="9" t="inlineStr">
        <is>
          <t>ljungstromersglas.se</t>
        </is>
      </c>
      <c r="J108" s="7" t="inlineStr">
        <is>
          <t>C</t>
        </is>
      </c>
      <c r="K108" s="11" t="n"/>
      <c r="L108" s="11" t="n"/>
      <c r="M108" s="11" t="n"/>
      <c r="N108" s="12" t="n"/>
      <c r="O108" s="13" t="inlineStr">
        <is>
          <t>Alt. nummer 076-357 08 33.</t>
        </is>
      </c>
    </row>
    <row r="109" ht="30" customHeight="1">
      <c r="A109" s="7" t="n">
        <v>101</v>
      </c>
      <c r="B109" s="8" t="inlineStr">
        <is>
          <t>Pelles Cykel &amp; Motor AB</t>
        </is>
      </c>
      <c r="C109" s="9" t="inlineStr">
        <is>
          <t>Vänersborg</t>
        </is>
      </c>
      <c r="D109" s="9" t="inlineStr">
        <is>
          <t>Kronogatan 42</t>
        </is>
      </c>
      <c r="E109" s="10" t="inlineStr">
        <is>
          <t>Cykel- och motorbutik med verkstad (Crescent, Monark, Trek)</t>
        </is>
      </c>
      <c r="F109" s="9" t="inlineStr">
        <is>
          <t>076-325 84 33</t>
        </is>
      </c>
      <c r="G109" s="7" t="inlineStr">
        <is>
          <t>Hög</t>
        </is>
      </c>
      <c r="H109" s="10" t="inlineStr">
        <is>
          <t>Har egen webbplats</t>
        </is>
      </c>
      <c r="I109" s="9" t="inlineStr">
        <is>
          <t>pellescykel.com</t>
        </is>
      </c>
      <c r="J109" s="7" t="inlineStr">
        <is>
          <t>C</t>
        </is>
      </c>
      <c r="K109" s="11" t="n"/>
      <c r="L109" s="11" t="n"/>
      <c r="M109" s="11" t="n"/>
      <c r="N109" s="12" t="n"/>
      <c r="O109" s="13" t="inlineStr"/>
    </row>
    <row r="110" ht="30" customHeight="1">
      <c r="A110" s="7" t="n">
        <v>102</v>
      </c>
      <c r="B110" s="8" t="inlineStr">
        <is>
          <t>SMJ Entreprenad AB</t>
        </is>
      </c>
      <c r="C110" s="9" t="inlineStr">
        <is>
          <t>Vänersborg</t>
        </is>
      </c>
      <c r="D110" s="9" t="inlineStr">
        <is>
          <t>Hedetorpet 220</t>
        </is>
      </c>
      <c r="E110" s="10" t="inlineStr">
        <is>
          <t>Entreprenad, transport och containrar</t>
        </is>
      </c>
      <c r="F110" s="9" t="inlineStr">
        <is>
          <t>0521-102 50</t>
        </is>
      </c>
      <c r="G110" s="7" t="inlineStr">
        <is>
          <t>Hög</t>
        </is>
      </c>
      <c r="H110" s="10" t="inlineStr">
        <is>
          <t>Har egen webbplats</t>
        </is>
      </c>
      <c r="I110" s="9" t="inlineStr">
        <is>
          <t>smjab.se</t>
        </is>
      </c>
      <c r="J110" s="7" t="inlineStr">
        <is>
          <t>C</t>
        </is>
      </c>
      <c r="K110" s="11" t="n"/>
      <c r="L110" s="11" t="n"/>
      <c r="M110" s="11" t="n"/>
      <c r="N110" s="12" t="n"/>
      <c r="O110" s="13" t="inlineStr">
        <is>
          <t>Öppet mån-fre 07-16.</t>
        </is>
      </c>
    </row>
    <row r="111" ht="30" customHeight="1">
      <c r="A111" s="7" t="n">
        <v>103</v>
      </c>
      <c r="B111" s="8" t="inlineStr">
        <is>
          <t>STAR Städservice</t>
        </is>
      </c>
      <c r="C111" s="9" t="inlineStr">
        <is>
          <t>Vänersborg</t>
        </is>
      </c>
      <c r="D111" s="9" t="inlineStr">
        <is>
          <t>Flanaden 84</t>
        </is>
      </c>
      <c r="E111" s="10" t="inlineStr">
        <is>
          <t>Städ och lokalvård i Trestad</t>
        </is>
      </c>
      <c r="F111" s="9" t="inlineStr">
        <is>
          <t>073-744 81 51</t>
        </is>
      </c>
      <c r="G111" s="7" t="inlineStr">
        <is>
          <t>Hög</t>
        </is>
      </c>
      <c r="H111" s="10" t="inlineStr">
        <is>
          <t>Har egen webbplats</t>
        </is>
      </c>
      <c r="I111" s="9" t="inlineStr">
        <is>
          <t>starstadservice.se</t>
        </is>
      </c>
      <c r="J111" s="7" t="inlineStr">
        <is>
          <t>C</t>
        </is>
      </c>
      <c r="K111" s="11" t="n"/>
      <c r="L111" s="11" t="n"/>
      <c r="M111" s="11" t="n"/>
      <c r="N111" s="12" t="n"/>
      <c r="O111" s="13" t="inlineStr"/>
    </row>
    <row r="112" ht="30" customHeight="1">
      <c r="A112" s="7" t="n">
        <v>104</v>
      </c>
      <c r="B112" s="8" t="inlineStr">
        <is>
          <t>Salong Wikström &amp; Norrman AB</t>
        </is>
      </c>
      <c r="C112" s="9" t="inlineStr">
        <is>
          <t>Vänersborg</t>
        </is>
      </c>
      <c r="D112" s="9" t="inlineStr">
        <is>
          <t>Edsgatan 14</t>
        </is>
      </c>
      <c r="E112" s="10" t="inlineStr">
        <is>
          <t>Frisörsalong</t>
        </is>
      </c>
      <c r="F112" s="9" t="inlineStr">
        <is>
          <t>0521-636 00</t>
        </is>
      </c>
      <c r="G112" s="7" t="inlineStr">
        <is>
          <t>Hög</t>
        </is>
      </c>
      <c r="H112" s="10" t="inlineStr">
        <is>
          <t>Har egen webbplats</t>
        </is>
      </c>
      <c r="I112" s="9" t="inlineStr">
        <is>
          <t>wikstromnorrman.se</t>
        </is>
      </c>
      <c r="J112" s="7" t="inlineStr">
        <is>
          <t>C</t>
        </is>
      </c>
      <c r="K112" s="11" t="n"/>
      <c r="L112" s="11" t="n"/>
      <c r="M112" s="11" t="n"/>
      <c r="N112" s="12" t="n"/>
      <c r="O112" s="13" t="inlineStr"/>
    </row>
    <row r="113" ht="30" customHeight="1">
      <c r="A113" s="7" t="n">
        <v>105</v>
      </c>
      <c r="B113" s="8" t="inlineStr">
        <is>
          <t>Barberiet Kniven</t>
        </is>
      </c>
      <c r="C113" s="9" t="inlineStr">
        <is>
          <t>Trollhättan</t>
        </is>
      </c>
      <c r="D113" s="9" t="inlineStr">
        <is>
          <t>Spannmålsgatan 7a</t>
        </is>
      </c>
      <c r="E113" s="10" t="inlineStr">
        <is>
          <t>Herrfrisör och barberare</t>
        </is>
      </c>
      <c r="F113" s="9" t="inlineStr">
        <is>
          <t>0520-30 999 ??</t>
        </is>
      </c>
      <c r="G113" s="7" t="inlineStr">
        <is>
          <t>Låg</t>
        </is>
      </c>
      <c r="H113" s="10" t="inlineStr">
        <is>
          <t>Har egen webbplats</t>
        </is>
      </c>
      <c r="I113" s="9" t="inlineStr">
        <is>
          <t>barberietkniven.se</t>
        </is>
      </c>
      <c r="J113" s="7" t="inlineStr">
        <is>
          <t>C</t>
        </is>
      </c>
      <c r="K113" s="11" t="n"/>
      <c r="L113" s="11" t="n"/>
      <c r="M113" s="11" t="n"/>
      <c r="N113" s="12" t="n"/>
      <c r="O113" s="13" t="inlineStr">
        <is>
          <t>Numret ofullständigt i källan.</t>
        </is>
      </c>
    </row>
    <row r="114" ht="30" customHeight="1">
      <c r="A114" s="7" t="n">
        <v>106</v>
      </c>
      <c r="B114" s="8" t="inlineStr">
        <is>
          <t>Salong Zandhoff &amp; Co</t>
        </is>
      </c>
      <c r="C114" s="9" t="inlineStr">
        <is>
          <t>Trollhättan</t>
        </is>
      </c>
      <c r="D114" s="9" t="inlineStr">
        <is>
          <t>Storgatan 40 A</t>
        </is>
      </c>
      <c r="E114" s="10" t="inlineStr">
        <is>
          <t>Frisörsalong</t>
        </is>
      </c>
      <c r="F114" s="9" t="inlineStr">
        <is>
          <t>0520-48 22 ??</t>
        </is>
      </c>
      <c r="G114" s="7" t="inlineStr">
        <is>
          <t>Låg</t>
        </is>
      </c>
      <c r="H114" s="10" t="inlineStr">
        <is>
          <t>Har egen webbplats</t>
        </is>
      </c>
      <c r="I114" s="9" t="inlineStr">
        <is>
          <t>zandhoff.se</t>
        </is>
      </c>
      <c r="J114" s="7" t="inlineStr">
        <is>
          <t>C</t>
        </is>
      </c>
      <c r="K114" s="11" t="n"/>
      <c r="L114" s="11" t="n"/>
      <c r="M114" s="11" t="n"/>
      <c r="N114" s="12" t="n"/>
      <c r="O114" s="13" t="inlineStr">
        <is>
          <t>Numret ofullständigt i källan.</t>
        </is>
      </c>
    </row>
    <row r="115" ht="30" customHeight="1">
      <c r="A115" s="7" t="n">
        <v>107</v>
      </c>
      <c r="B115" s="8" t="inlineStr">
        <is>
          <t>Åhlanders Bilservice AB</t>
        </is>
      </c>
      <c r="C115" s="9" t="inlineStr">
        <is>
          <t>Trollhättan</t>
        </is>
      </c>
      <c r="D115" s="9" t="inlineStr">
        <is>
          <t>Kungsgatan 56</t>
        </is>
      </c>
      <c r="E115" s="10" t="inlineStr">
        <is>
          <t>Bilverkstad (MECA) – service, reparation, däckhotell</t>
        </is>
      </c>
      <c r="F115" s="9" t="inlineStr">
        <is>
          <t>0520-109 52</t>
        </is>
      </c>
      <c r="G115" s="7" t="inlineStr">
        <is>
          <t>Hög</t>
        </is>
      </c>
      <c r="H115" s="10" t="inlineStr">
        <is>
          <t>Har egen webbplats</t>
        </is>
      </c>
      <c r="I115" s="9" t="inlineStr">
        <is>
          <t>ahlandersbil.se</t>
        </is>
      </c>
      <c r="J115" s="7" t="inlineStr">
        <is>
          <t>C</t>
        </is>
      </c>
      <c r="K115" s="11" t="n"/>
      <c r="L115" s="11" t="n"/>
      <c r="M115" s="11" t="n"/>
      <c r="N115" s="12" t="n"/>
      <c r="O115" s="13" t="inlineStr">
        <is>
          <t>Alt. mobil 070-604 09 17.</t>
        </is>
      </c>
    </row>
  </sheetData>
  <autoFilter ref="A8:O115"/>
  <mergeCells count="5">
    <mergeCell ref="A2:O2"/>
    <mergeCell ref="A1:O1"/>
    <mergeCell ref="A5:O5"/>
    <mergeCell ref="A4:O4"/>
    <mergeCell ref="A3:O3"/>
  </mergeCells>
  <conditionalFormatting sqref="A9:O115">
    <cfRule type="expression" priority="1" dxfId="0" stopIfTrue="0">
      <formula>$M9="Ja"</formula>
    </cfRule>
    <cfRule type="expression" priority="2" dxfId="1" stopIfTrue="0">
      <formula>$M9="Nej"</formula>
    </cfRule>
  </conditionalFormatting>
  <conditionalFormatting sqref="J9:J115">
    <cfRule type="expression" priority="3" dxfId="2" stopIfTrue="0">
      <formula>$J9="A"</formula>
    </cfRule>
  </conditionalFormatting>
  <conditionalFormatting sqref="G9:G115">
    <cfRule type="expression" priority="4" dxfId="3" stopIfTrue="0">
      <formula>OR($G9="Låg",$G9="Saknas")</formula>
    </cfRule>
  </conditionalFormatting>
  <dataValidations count="3">
    <dataValidation sqref="K9:K115" showDropDown="0" showInputMessage="0" showErrorMessage="0" allowBlank="1" type="list">
      <formula1>"✓"</formula1>
    </dataValidation>
    <dataValidation sqref="L9:L115" showDropDown="0" showInputMessage="0" showErrorMessage="0" allowBlank="1" type="list">
      <formula1>"Ja,Nej,Röstbrevlåda,Fel nummer"</formula1>
    </dataValidation>
    <dataValidation sqref="M9:M115" showDropDown="0" showInputMessage="0" showErrorMessage="0" allowBlank="1" type="list">
      <formula1>"Ja,Kanske,Nej"</formula1>
    </dataValidation>
  </dataValidation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2026-08-10T11:07:58Z</dcterms:created>
  <dcterms:modified xsi:type="dcterms:W3CDTF">2026-08-10T11:07:58Z</dcterms:modified>
</cp:coreProperties>
</file>